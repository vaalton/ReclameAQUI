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Valton Neto\Desktop\"/>
    </mc:Choice>
  </mc:AlternateContent>
  <xr:revisionPtr revIDLastSave="0" documentId="8_{0564631A-6ECC-49AA-9D44-1A8F08DA3E73}" xr6:coauthVersionLast="47" xr6:coauthVersionMax="47" xr10:uidLastSave="{00000000-0000-0000-0000-000000000000}"/>
  <bookViews>
    <workbookView xWindow="-110" yWindow="-110" windowWidth="19420" windowHeight="10420" xr2:uid="{28038653-1CA8-4EF5-AD7E-D424A091DC92}"/>
  </bookViews>
  <sheets>
    <sheet name="combined_output_id (3)" sheetId="2" r:id="rId1"/>
    <sheet name="Planilha1" sheetId="1" r:id="rId2"/>
  </sheets>
  <definedNames>
    <definedName name="DadosExternos_1" localSheetId="0" hidden="1">'combined_output_id (3)'!$A$1:$E$284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2" l="1"/>
  <c r="G14" i="2"/>
  <c r="G17" i="2"/>
  <c r="G25" i="2"/>
  <c r="G26" i="2"/>
  <c r="G31" i="2"/>
  <c r="G34" i="2"/>
  <c r="G40" i="2"/>
  <c r="G46" i="2"/>
  <c r="G47" i="2"/>
  <c r="G52" i="2"/>
  <c r="G54" i="2"/>
  <c r="G58" i="2"/>
  <c r="G59" i="2"/>
  <c r="G62" i="2"/>
  <c r="G63" i="2"/>
  <c r="G64" i="2"/>
  <c r="G65" i="2"/>
  <c r="G69" i="2"/>
  <c r="G70" i="2"/>
  <c r="G74" i="2"/>
  <c r="G75" i="2"/>
  <c r="G91" i="2"/>
  <c r="G115" i="2"/>
  <c r="G179" i="2"/>
  <c r="G243" i="2"/>
  <c r="G284" i="2"/>
  <c r="G3" i="2"/>
  <c r="G9" i="2"/>
  <c r="F73" i="2"/>
  <c r="G73" i="2" s="1"/>
  <c r="F72" i="2"/>
  <c r="G72" i="2" s="1"/>
  <c r="F71" i="2"/>
  <c r="G71" i="2" s="1"/>
  <c r="F68" i="2"/>
  <c r="G68" i="2" s="1"/>
  <c r="F67" i="2"/>
  <c r="G67" i="2" s="1"/>
  <c r="F66" i="2"/>
  <c r="G66" i="2" s="1"/>
  <c r="F61" i="2"/>
  <c r="G61" i="2" s="1"/>
  <c r="F60" i="2"/>
  <c r="G60" i="2" s="1"/>
  <c r="F59" i="2"/>
  <c r="F57" i="2"/>
  <c r="G57" i="2" s="1"/>
  <c r="F56" i="2"/>
  <c r="G56" i="2" s="1"/>
  <c r="F55" i="2"/>
  <c r="G55" i="2" s="1"/>
  <c r="F53" i="2"/>
  <c r="G53" i="2" s="1"/>
  <c r="F51" i="2"/>
  <c r="G51" i="2" s="1"/>
  <c r="F50" i="2"/>
  <c r="G50" i="2" s="1"/>
  <c r="F49" i="2"/>
  <c r="G49" i="2" s="1"/>
  <c r="F48" i="2"/>
  <c r="G48" i="2" s="1"/>
  <c r="F45" i="2"/>
  <c r="G45" i="2" s="1"/>
  <c r="F44" i="2"/>
  <c r="G44" i="2" s="1"/>
  <c r="F43" i="2"/>
  <c r="G43" i="2" s="1"/>
  <c r="F42" i="2"/>
  <c r="G42" i="2" s="1"/>
  <c r="F41" i="2"/>
  <c r="G41" i="2" s="1"/>
  <c r="F39" i="2"/>
  <c r="G39" i="2" s="1"/>
  <c r="F38" i="2"/>
  <c r="G38" i="2" s="1"/>
  <c r="F37" i="2"/>
  <c r="G37" i="2" s="1"/>
  <c r="F36" i="2"/>
  <c r="G36" i="2" s="1"/>
  <c r="F35" i="2"/>
  <c r="G35" i="2" s="1"/>
  <c r="F33" i="2"/>
  <c r="G33" i="2" s="1"/>
  <c r="F32" i="2"/>
  <c r="G32" i="2" s="1"/>
  <c r="F30" i="2"/>
  <c r="G30" i="2" s="1"/>
  <c r="F29" i="2"/>
  <c r="G29" i="2" s="1"/>
  <c r="F28" i="2"/>
  <c r="G28" i="2" s="1"/>
  <c r="F27" i="2"/>
  <c r="G27" i="2" s="1"/>
  <c r="F24" i="2"/>
  <c r="G24" i="2" s="1"/>
  <c r="F23" i="2"/>
  <c r="G23" i="2" s="1"/>
  <c r="F22" i="2"/>
  <c r="G22" i="2" s="1"/>
  <c r="F21" i="2"/>
  <c r="G21" i="2" s="1"/>
  <c r="F20" i="2"/>
  <c r="G20" i="2" s="1"/>
  <c r="F19" i="2"/>
  <c r="G19" i="2" s="1"/>
  <c r="F18" i="2"/>
  <c r="G18" i="2" s="1"/>
  <c r="F16" i="2"/>
  <c r="G16" i="2" s="1"/>
  <c r="F15" i="2"/>
  <c r="G15" i="2" s="1"/>
  <c r="F12" i="2"/>
  <c r="G12" i="2" s="1"/>
  <c r="F10" i="2"/>
  <c r="G10" i="2" s="1"/>
  <c r="F9" i="2"/>
  <c r="F8" i="2"/>
  <c r="G8" i="2" s="1"/>
  <c r="F7" i="2"/>
  <c r="G7" i="2" s="1"/>
  <c r="F6" i="2"/>
  <c r="G6" i="2" s="1"/>
  <c r="F5" i="2"/>
  <c r="G5" i="2" s="1"/>
  <c r="F4" i="2"/>
  <c r="G4" i="2" s="1"/>
  <c r="F3" i="2"/>
  <c r="F2" i="2"/>
  <c r="G2" i="2" s="1"/>
  <c r="G11" i="2"/>
  <c r="F76" i="2"/>
  <c r="G76" i="2" s="1"/>
  <c r="F77" i="2"/>
  <c r="G77" i="2" s="1"/>
  <c r="F78" i="2"/>
  <c r="G78" i="2" s="1"/>
  <c r="F79" i="2"/>
  <c r="G79" i="2" s="1"/>
  <c r="F80" i="2"/>
  <c r="G80" i="2" s="1"/>
  <c r="F81" i="2"/>
  <c r="G81" i="2" s="1"/>
  <c r="F82" i="2"/>
  <c r="G82" i="2" s="1"/>
  <c r="F83" i="2"/>
  <c r="G83" i="2" s="1"/>
  <c r="F84" i="2"/>
  <c r="G84" i="2" s="1"/>
  <c r="F85" i="2"/>
  <c r="G85" i="2" s="1"/>
  <c r="F86" i="2"/>
  <c r="G86" i="2" s="1"/>
  <c r="F87" i="2"/>
  <c r="G87" i="2" s="1"/>
  <c r="F88" i="2"/>
  <c r="G88" i="2" s="1"/>
  <c r="F89" i="2"/>
  <c r="G89" i="2" s="1"/>
  <c r="F90" i="2"/>
  <c r="G90" i="2" s="1"/>
  <c r="F91" i="2"/>
  <c r="F92" i="2"/>
  <c r="G92" i="2" s="1"/>
  <c r="F93" i="2"/>
  <c r="G93" i="2" s="1"/>
  <c r="F94" i="2"/>
  <c r="G94" i="2" s="1"/>
  <c r="F95" i="2"/>
  <c r="G95" i="2" s="1"/>
  <c r="F96" i="2"/>
  <c r="G96" i="2" s="1"/>
  <c r="F97" i="2"/>
  <c r="G97" i="2" s="1"/>
  <c r="F98" i="2"/>
  <c r="G98" i="2" s="1"/>
  <c r="F99" i="2"/>
  <c r="G99" i="2" s="1"/>
  <c r="F100" i="2"/>
  <c r="G100" i="2" s="1"/>
  <c r="F101" i="2"/>
  <c r="G101" i="2" s="1"/>
  <c r="F102" i="2"/>
  <c r="G102" i="2" s="1"/>
  <c r="F103" i="2"/>
  <c r="G103" i="2" s="1"/>
  <c r="F104" i="2"/>
  <c r="G104" i="2" s="1"/>
  <c r="F105" i="2"/>
  <c r="G105" i="2" s="1"/>
  <c r="F106" i="2"/>
  <c r="G106" i="2" s="1"/>
  <c r="F107" i="2"/>
  <c r="G107" i="2" s="1"/>
  <c r="F108" i="2"/>
  <c r="G108" i="2" s="1"/>
  <c r="F109" i="2"/>
  <c r="G109" i="2" s="1"/>
  <c r="F110" i="2"/>
  <c r="G110" i="2" s="1"/>
  <c r="F111" i="2"/>
  <c r="G111" i="2" s="1"/>
  <c r="F112" i="2"/>
  <c r="G112" i="2" s="1"/>
  <c r="F113" i="2"/>
  <c r="G113" i="2" s="1"/>
  <c r="F114" i="2"/>
  <c r="G114" i="2" s="1"/>
  <c r="F115" i="2"/>
  <c r="F116" i="2"/>
  <c r="G116" i="2" s="1"/>
  <c r="F117" i="2"/>
  <c r="G117" i="2" s="1"/>
  <c r="F118" i="2"/>
  <c r="G118" i="2" s="1"/>
  <c r="F119" i="2"/>
  <c r="G119" i="2" s="1"/>
  <c r="F120" i="2"/>
  <c r="G120" i="2" s="1"/>
  <c r="F121" i="2"/>
  <c r="G121" i="2" s="1"/>
  <c r="F122" i="2"/>
  <c r="G122" i="2" s="1"/>
  <c r="F123" i="2"/>
  <c r="G123" i="2" s="1"/>
  <c r="F124" i="2"/>
  <c r="G124" i="2" s="1"/>
  <c r="F125" i="2"/>
  <c r="G125" i="2" s="1"/>
  <c r="F126" i="2"/>
  <c r="G126" i="2" s="1"/>
  <c r="F127" i="2"/>
  <c r="G127" i="2" s="1"/>
  <c r="F128" i="2"/>
  <c r="G128" i="2" s="1"/>
  <c r="F129" i="2"/>
  <c r="G129" i="2" s="1"/>
  <c r="F130" i="2"/>
  <c r="G130" i="2" s="1"/>
  <c r="F131" i="2"/>
  <c r="G131" i="2" s="1"/>
  <c r="F132" i="2"/>
  <c r="G132" i="2" s="1"/>
  <c r="F133" i="2"/>
  <c r="G133" i="2" s="1"/>
  <c r="F134" i="2"/>
  <c r="G134" i="2" s="1"/>
  <c r="F135" i="2"/>
  <c r="G135" i="2" s="1"/>
  <c r="F136" i="2"/>
  <c r="G136" i="2" s="1"/>
  <c r="F137" i="2"/>
  <c r="G137" i="2" s="1"/>
  <c r="F138" i="2"/>
  <c r="G138" i="2" s="1"/>
  <c r="F139" i="2"/>
  <c r="G139" i="2" s="1"/>
  <c r="F140" i="2"/>
  <c r="G140" i="2" s="1"/>
  <c r="F141" i="2"/>
  <c r="G141" i="2" s="1"/>
  <c r="F142" i="2"/>
  <c r="G142" i="2" s="1"/>
  <c r="F143" i="2"/>
  <c r="G143" i="2" s="1"/>
  <c r="F144" i="2"/>
  <c r="G144" i="2" s="1"/>
  <c r="F145" i="2"/>
  <c r="G145" i="2" s="1"/>
  <c r="F146" i="2"/>
  <c r="G146" i="2" s="1"/>
  <c r="F147" i="2"/>
  <c r="G147" i="2" s="1"/>
  <c r="F148" i="2"/>
  <c r="G148" i="2" s="1"/>
  <c r="F149" i="2"/>
  <c r="G149" i="2" s="1"/>
  <c r="F150" i="2"/>
  <c r="G150" i="2" s="1"/>
  <c r="F151" i="2"/>
  <c r="G151" i="2" s="1"/>
  <c r="F152" i="2"/>
  <c r="G152" i="2" s="1"/>
  <c r="F153" i="2"/>
  <c r="G153" i="2" s="1"/>
  <c r="F154" i="2"/>
  <c r="G154" i="2" s="1"/>
  <c r="F155" i="2"/>
  <c r="G155" i="2" s="1"/>
  <c r="F156" i="2"/>
  <c r="G156" i="2" s="1"/>
  <c r="F157" i="2"/>
  <c r="G157" i="2" s="1"/>
  <c r="F158" i="2"/>
  <c r="G158" i="2" s="1"/>
  <c r="F159" i="2"/>
  <c r="G159" i="2" s="1"/>
  <c r="F160" i="2"/>
  <c r="G160" i="2" s="1"/>
  <c r="F161" i="2"/>
  <c r="G161" i="2" s="1"/>
  <c r="F162" i="2"/>
  <c r="G162" i="2" s="1"/>
  <c r="F163" i="2"/>
  <c r="G163" i="2" s="1"/>
  <c r="F164" i="2"/>
  <c r="G164" i="2" s="1"/>
  <c r="F165" i="2"/>
  <c r="G165" i="2" s="1"/>
  <c r="F166" i="2"/>
  <c r="G166" i="2" s="1"/>
  <c r="F167" i="2"/>
  <c r="G167" i="2" s="1"/>
  <c r="F168" i="2"/>
  <c r="G168" i="2" s="1"/>
  <c r="F169" i="2"/>
  <c r="G169" i="2" s="1"/>
  <c r="F170" i="2"/>
  <c r="G170" i="2" s="1"/>
  <c r="F171" i="2"/>
  <c r="G171" i="2" s="1"/>
  <c r="F172" i="2"/>
  <c r="G172" i="2" s="1"/>
  <c r="F173" i="2"/>
  <c r="G173" i="2" s="1"/>
  <c r="F174" i="2"/>
  <c r="G174" i="2" s="1"/>
  <c r="F175" i="2"/>
  <c r="G175" i="2" s="1"/>
  <c r="F176" i="2"/>
  <c r="G176" i="2" s="1"/>
  <c r="F177" i="2"/>
  <c r="G177" i="2" s="1"/>
  <c r="F178" i="2"/>
  <c r="G178" i="2" s="1"/>
  <c r="F179" i="2"/>
  <c r="F180" i="2"/>
  <c r="G180" i="2" s="1"/>
  <c r="F181" i="2"/>
  <c r="G181" i="2" s="1"/>
  <c r="F182" i="2"/>
  <c r="G182" i="2" s="1"/>
  <c r="F183" i="2"/>
  <c r="G183" i="2" s="1"/>
  <c r="F184" i="2"/>
  <c r="G184" i="2" s="1"/>
  <c r="F185" i="2"/>
  <c r="G185" i="2" s="1"/>
  <c r="F186" i="2"/>
  <c r="G186" i="2" s="1"/>
  <c r="F187" i="2"/>
  <c r="G187" i="2" s="1"/>
  <c r="F188" i="2"/>
  <c r="G188" i="2" s="1"/>
  <c r="F189" i="2"/>
  <c r="G189" i="2" s="1"/>
  <c r="F190" i="2"/>
  <c r="G190" i="2" s="1"/>
  <c r="F191" i="2"/>
  <c r="G191" i="2" s="1"/>
  <c r="F192" i="2"/>
  <c r="G192" i="2" s="1"/>
  <c r="F193" i="2"/>
  <c r="G193" i="2" s="1"/>
  <c r="F194" i="2"/>
  <c r="G194" i="2" s="1"/>
  <c r="F195" i="2"/>
  <c r="G195" i="2" s="1"/>
  <c r="F196" i="2"/>
  <c r="G196" i="2" s="1"/>
  <c r="F197" i="2"/>
  <c r="G197" i="2" s="1"/>
  <c r="F198" i="2"/>
  <c r="G198" i="2" s="1"/>
  <c r="F199" i="2"/>
  <c r="G199" i="2" s="1"/>
  <c r="F200" i="2"/>
  <c r="G200" i="2" s="1"/>
  <c r="F201" i="2"/>
  <c r="G201" i="2" s="1"/>
  <c r="F202" i="2"/>
  <c r="G202" i="2" s="1"/>
  <c r="F203" i="2"/>
  <c r="G203" i="2" s="1"/>
  <c r="F204" i="2"/>
  <c r="G204" i="2" s="1"/>
  <c r="F205" i="2"/>
  <c r="G205" i="2" s="1"/>
  <c r="F206" i="2"/>
  <c r="G206" i="2" s="1"/>
  <c r="F207" i="2"/>
  <c r="G207" i="2" s="1"/>
  <c r="F208" i="2"/>
  <c r="G208" i="2" s="1"/>
  <c r="F209" i="2"/>
  <c r="G209" i="2" s="1"/>
  <c r="F210" i="2"/>
  <c r="G210" i="2" s="1"/>
  <c r="F211" i="2"/>
  <c r="G211" i="2" s="1"/>
  <c r="F212" i="2"/>
  <c r="G212" i="2" s="1"/>
  <c r="F213" i="2"/>
  <c r="G213" i="2" s="1"/>
  <c r="F214" i="2"/>
  <c r="G214" i="2" s="1"/>
  <c r="F215" i="2"/>
  <c r="G215" i="2" s="1"/>
  <c r="F216" i="2"/>
  <c r="G216" i="2" s="1"/>
  <c r="F217" i="2"/>
  <c r="G217" i="2" s="1"/>
  <c r="F218" i="2"/>
  <c r="G218" i="2" s="1"/>
  <c r="F219" i="2"/>
  <c r="G219" i="2" s="1"/>
  <c r="F220" i="2"/>
  <c r="G220" i="2" s="1"/>
  <c r="F221" i="2"/>
  <c r="G221" i="2" s="1"/>
  <c r="F222" i="2"/>
  <c r="G222" i="2" s="1"/>
  <c r="F223" i="2"/>
  <c r="G223" i="2" s="1"/>
  <c r="F224" i="2"/>
  <c r="G224" i="2" s="1"/>
  <c r="F225" i="2"/>
  <c r="G225" i="2" s="1"/>
  <c r="F226" i="2"/>
  <c r="G226" i="2" s="1"/>
  <c r="F227" i="2"/>
  <c r="G227" i="2" s="1"/>
  <c r="F228" i="2"/>
  <c r="G228" i="2" s="1"/>
  <c r="F229" i="2"/>
  <c r="G229" i="2" s="1"/>
  <c r="F230" i="2"/>
  <c r="G230" i="2" s="1"/>
  <c r="F231" i="2"/>
  <c r="G231" i="2" s="1"/>
  <c r="F232" i="2"/>
  <c r="G232" i="2" s="1"/>
  <c r="F233" i="2"/>
  <c r="G233" i="2" s="1"/>
  <c r="F234" i="2"/>
  <c r="G234" i="2" s="1"/>
  <c r="F235" i="2"/>
  <c r="G235" i="2" s="1"/>
  <c r="F236" i="2"/>
  <c r="G236" i="2" s="1"/>
  <c r="F237" i="2"/>
  <c r="G237" i="2" s="1"/>
  <c r="F238" i="2"/>
  <c r="G238" i="2" s="1"/>
  <c r="F239" i="2"/>
  <c r="G239" i="2" s="1"/>
  <c r="F240" i="2"/>
  <c r="G240" i="2" s="1"/>
  <c r="F241" i="2"/>
  <c r="G241" i="2" s="1"/>
  <c r="F242" i="2"/>
  <c r="G242" i="2" s="1"/>
  <c r="F243" i="2"/>
  <c r="F244" i="2"/>
  <c r="G244" i="2" s="1"/>
  <c r="F245" i="2"/>
  <c r="G245" i="2" s="1"/>
  <c r="F246" i="2"/>
  <c r="G246" i="2" s="1"/>
  <c r="F247" i="2"/>
  <c r="G247" i="2" s="1"/>
  <c r="F248" i="2"/>
  <c r="G248" i="2" s="1"/>
  <c r="F249" i="2"/>
  <c r="G249" i="2" s="1"/>
  <c r="F250" i="2"/>
  <c r="G250" i="2" s="1"/>
  <c r="F251" i="2"/>
  <c r="G251" i="2" s="1"/>
  <c r="F252" i="2"/>
  <c r="G252" i="2" s="1"/>
  <c r="F253" i="2"/>
  <c r="G253" i="2" s="1"/>
  <c r="F254" i="2"/>
  <c r="G254" i="2" s="1"/>
  <c r="F255" i="2"/>
  <c r="G255" i="2" s="1"/>
  <c r="F256" i="2"/>
  <c r="G256" i="2" s="1"/>
  <c r="F257" i="2"/>
  <c r="G257" i="2" s="1"/>
  <c r="F258" i="2"/>
  <c r="G258" i="2" s="1"/>
  <c r="F259" i="2"/>
  <c r="G259" i="2" s="1"/>
  <c r="F260" i="2"/>
  <c r="G260" i="2" s="1"/>
  <c r="F261" i="2"/>
  <c r="G261" i="2" s="1"/>
  <c r="F262" i="2"/>
  <c r="G262" i="2" s="1"/>
  <c r="F263" i="2"/>
  <c r="G263" i="2" s="1"/>
  <c r="F264" i="2"/>
  <c r="G264" i="2" s="1"/>
  <c r="F265" i="2"/>
  <c r="G265" i="2" s="1"/>
  <c r="F266" i="2"/>
  <c r="G266" i="2" s="1"/>
  <c r="F267" i="2"/>
  <c r="G267" i="2" s="1"/>
  <c r="F268" i="2"/>
  <c r="G268" i="2" s="1"/>
  <c r="F269" i="2"/>
  <c r="G269" i="2" s="1"/>
  <c r="F270" i="2"/>
  <c r="G270" i="2" s="1"/>
  <c r="F271" i="2"/>
  <c r="G271" i="2" s="1"/>
  <c r="F272" i="2"/>
  <c r="G272" i="2" s="1"/>
  <c r="F273" i="2"/>
  <c r="G273" i="2" s="1"/>
  <c r="F274" i="2"/>
  <c r="G274" i="2" s="1"/>
  <c r="F275" i="2"/>
  <c r="G275" i="2" s="1"/>
  <c r="F276" i="2"/>
  <c r="G276" i="2" s="1"/>
  <c r="F277" i="2"/>
  <c r="G277" i="2" s="1"/>
  <c r="F278" i="2"/>
  <c r="G278" i="2" s="1"/>
  <c r="F279" i="2"/>
  <c r="G279" i="2" s="1"/>
  <c r="F280" i="2"/>
  <c r="G280" i="2" s="1"/>
  <c r="F281" i="2"/>
  <c r="G281" i="2" s="1"/>
  <c r="F282" i="2"/>
  <c r="G282" i="2" s="1"/>
  <c r="F283" i="2"/>
  <c r="G28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37D2C-655B-4128-9DDF-E43E31E51219}" keepAlive="1" name="Consulta - combined_output_id (3)" description="Conexão com a consulta 'combined_output_id (3)' na pasta de trabalho." type="5" refreshedVersion="7" background="1" saveData="1">
    <dbPr connection="Provider=Microsoft.Mashup.OleDb.1;Data Source=$Workbook$;Location=&quot;combined_output_id (3)&quot;;Extended Properties=&quot;&quot;" command="SELECT * FROM [combined_output_id (3)]"/>
  </connection>
</connections>
</file>

<file path=xl/sharedStrings.xml><?xml version="1.0" encoding="utf-8"?>
<sst xmlns="http://schemas.openxmlformats.org/spreadsheetml/2006/main" count="1511" uniqueCount="383">
  <si>
    <t>Column1</t>
  </si>
  <si>
    <t>int_legacyid</t>
  </si>
  <si>
    <t>st_description</t>
  </si>
  <si>
    <t>y_pred</t>
  </si>
  <si>
    <t>Confidence Level</t>
  </si>
  <si>
    <t>No dia 24/11, fiz uma compra de dois aspiradores de pó robô, número do pedido 27129081, onde estavam em promoção com 50% de desconto, recebi o e-mail do Kabum confirmando a compra e a pre-autorização do pagamento, e um SMS da operado do meu cartão confirmando compra aprovada. &lt;br /&gt;Porém coisa de mais ou menos uma hora depois, recebo um e-mail informado que a compra foi cancelada por divergência com o cartão de crédito. &lt;br /&gt;Hoje pela manhã, entrei em contato com a operadora do meu cartão, e me informaram que está tudo ok com a compra, que não houve nenhuma recusa por parte da operadora, autorização número 671040. &lt;br /&gt;Liguei para o SAC, afim de tentar entender o que aconteceu e corrigir para manter a compra, fui informado que o sistema pode cancelar a compra se tiver alguma informação errada, porém eles não podem me passar qual a informação foi errada, e que eu deveria verificar junto a operadora do cartão, informei que já tinha confirmado e que estava tudo ok com o cartão, então a atendente me passou mais umas 5 vezes que o sistema faz isso para proteger o cliente, e pode cancelar por motivos divergentes, quando questionei se conseguiria manter a compra alterando a forma de pagamento, me informou que o pedido já estava cancelado e não teria nada o que fazer, ao questionar se eu estava em contato mesmo com o SAC, e se teria como fazer uma reclamação pois realmente tenho interesse em manter a compra, fui informado que como o pedido consta cancelado não tem o que fazer, apenas fazendo uma nova compra, onde o dobrou o valor do produto.&lt;br /&gt;&lt;br /&gt;A sensação que dá é que a Kabum se arrependeu de vender o produto nesse valor, onde cancelou o pedido apenas para conseguir vender as unidades pelo dobro do preço. &lt;br /&gt;&lt;br /&gt;Gostaria que a Kabum honre com sua palavra e finalize a venda conforme foi feita. Pois a compra seria presente de Natal para minha mãe, e agora ela ficará esperando.&lt;br /&gt;</t>
  </si>
  <si>
    <t>blackfriday</t>
  </si>
  <si>
    <t xml:space="preserve">Comprei uma televisão o KabuM e realmente foi um Bum!  O produto foi entregue na ultima 2 feira 22.11 com a tela toda quebrada. No próprio dia entrei em contato com eles, abri uma reclamação no SAC e fotografei o produto e a embalagem, conforme orientação.&lt;br /&gt;No dia seguinte 23.11 retornaram o email informando que iriam  verificar o ocorrido com o time de transportes e em alguns dias teria um retorno com novas instruções. &amp;quot;Se comprei do KabuM que culpa tenho e porque preciso aguardar eles verificarem com o time de transportes?&amp;quot;&lt;br /&gt;24.11 fui informado que encaminharam meu chamado &amp;quot;pedido de troca do produto&amp;quot; para área responsável e solicitada a coleta do produto junto a transportadora, pediram para que eu confirmasse meu endereço e todos os dados para retirada do produto.&lt;br /&gt;25.11, entrei em contato pelo telefone pois passadas 24horas do ultimo contato por email não obtive retorno e para minha surpresa, solicitaram todas as informações novamente. Informaram que não possuem data para retirada do produto e somente após retirada do produto e analise, poderão se posicionar quanto ao envio de outra televisão.&lt;br /&gt;Infelizmente esta empresa ainda não está preparada para atender o consumidor, pois a mesma esta duvidando da palavra que o produto chegou quebrado, quer analisar para se posicionar. Pior, não sabem quando a transportadora poderá retirar o produto, que esta disponível deste 22.11 e muito menos quando irão entregar o novo produto. Aonde está o respeito com o consumidor?????? O Produto está pago e minha parte está cumprida, so falta o produto que adquiri.&lt;br /&gt;Não comprem nesta empresa, pois se tiveram problema, não tem o menor respeito pelo consumidor... </t>
  </si>
  <si>
    <t>Não</t>
  </si>
  <si>
    <t>Dia 24/11 ( Ontem ) através da plataforma de buscas do Google procurando um novo monitor, vi a oferta que apareceu na Kabum do Monitor Asus ProArt 34. Como me interessou e pela confiança e anos de mercado da empresa, não tive o temor de gerar o pagamento via pix, e de imediato, efetuar o pagamento. &lt;br /&gt;&lt;br /&gt;Pois bem, 1 dia depois eu recebo a Nota fiscal do produto e nela consta: Monitor Asus Gamer 27 polegadas, que com exceção da marca do produto, em nada tem a ver com o produto que anteriormente havia comprado.&lt;br /&gt;&lt;br /&gt;&lt;br /&gt;A kabum está me enviando um produto diferente daquele que eu comprei &lt;br /&gt;&lt;br /&gt;.&lt;br /&gt;&lt;br /&gt;Conforme print em anexo, eu efetuei a compra do produto: &lt;br /&gt;&lt;br /&gt;&lt;br /&gt;Monitor Profissional Asus ProArt IPS 4k&lt;br /&gt;&lt;br /&gt;.&lt;br /&gt;&lt;br /&gt;Porém, a nota gerada foi referente ao Monitor Gamer Asus 27 165hz.&lt;br /&gt;&lt;br /&gt;.&lt;br /&gt;&lt;br /&gt;Gostaria de saber como iremos resolver isto, visto que desejo receber o produto que comprei no ato do pagamento. &lt;br /&gt;&lt;br /&gt;&lt;br /&gt;Obrigado&lt;br /&gt;&lt;br /&gt;</t>
  </si>
  <si>
    <t>comprei um notbook chego dia 24/11/2021 e abri protocolo para devolver dia 25/11/2021 e a kabum me iguinoro fechando o protocolo de arrependimento testei e nao gostei  e nem tirei os plastiquinhos que vem grudado no notbook protocolo 2516438211125  gmail cadastrado na kabum lib****08@gmail.com  quero que voces aceite a devoluçao  e devolva o valor pago na mesma conta corrente em que paguei por pix se tiverem que falar com migo eu respondo por gmail  e whatsapp</t>
  </si>
  <si>
    <t xml:space="preserve">Fiz a compra no dia 21-11-2021  de um jogo ( Ghost of Tsushima ) no valor de 99 reais.&lt;br /&gt;Recebi uma mensagem e e-mail , dizendo que a minha compra não foi autorizada , pois precisa de uma liberação do banco.&lt;br /&gt;Meu cartão tem limite , e engraçado , que o jogo que estava 99 reais foi para 175.&lt;br /&gt;Meu banco não precisa de liberação , e agora , fico recebendo mensagem dizendo que será feita uma nova tentativa em duas horas pra realizar uma nova cobrança. Por sinal , já comprei uma TV , com uma valor muito maior e não precisou nada disso! &lt;br /&gt;Acredito que seja pela mudança do preço , e quem tem que arcar com isso sou eu !&lt;br /&gt;&lt;br /&gt;Só para constar, fiz uma compra no mesmo dia , em outro site, com um valor bem maior e não pediu nada, como não pedem a mais de 4 anos que tenho esse cartão&lt;br /&gt;&lt;br /&gt;Entrei em contato por e-mail , e só me mandavam frases automáticas, &amp;quot;desculpe pelo transtorno&amp;quot;&lt;br /&gt;E falaram que só pode alterar o cartão depois de 48 horas, mas fui informado depois de muito tempo, ai é complicado&lt;br /&gt;Solicitei até o desconto, pois o erro não foi meu, meu cartão está ok, tudo certo, e que eu não poderia arcar com essa alteração, pois eu queria com o valor menor.&lt;br /&gt;&lt;br /&gt;Entrei em contato com meu banco, tenho protocolo e tudo, resumindo : Tenho limite, não preciso de liberação para compra ( se não pede para uma compra de 2 mil, não vai pedir para de 99 )&lt;br /&gt;Exijo uma posição o mais breve possível , pois isso se categoriza como prática abusiva .&lt;br /&gt;&lt;br /&gt;&lt;br /&gt;&lt;br /&gt;Essa é a minha última tentativa antes de levar para uma outra esfera.&lt;br /&gt;&lt;br /&gt;Número do pedido 27057409 - </t>
  </si>
  <si>
    <t>ESTOU HÁ 2 DIAS TENTANDO DEVOLVER UM FONE BLUETOOTH (QUE SÓ FUNCIONA UM LADO, O OUTRO SO ESQUENTA E NÃO LIGA) PRA SER ESTORNADO E NÃO CONSIGO. PEDIDO N#26741782, SIMPLESMENTE FICA EM ANÁLISE E NÃO PROCEDE. É MUITO TRÂMITE PRA UMA SIMPLES DEVOLUÇÃO. FAZEM DE FORMA PROPOSITAL PARA QUE SEJA DIFÍCIL ESSA PROCESSO E AINDA DENTRO DO PRAZO DE 7 DIAS, O QUE É GARANTIDO EM LEI. Art. 49 do CDC.</t>
  </si>
  <si>
    <t>Comprei vários gift cards de Ps em diferentes pedidos, seguem os números: #27072722 #27072648 #27072574 #27072537 #27072498 #27072441 #27072389 #27072340 #27070283&lt;br /&gt;&lt;br /&gt;Fiz a compra no dia 22/11 e no dia seguinte o site informa que foi entregue. Verifiquei meu email, minha caixa de spam e NÃO RECEBI NENHUM DOS ITENS.&lt;br /&gt;&lt;br /&gt;Entrei em contato com a empresa no dia 25/11 em torno de 12:00 e fui extremamente mal atendido pela Sra. Caroline. Arrogante e mal educada, disse que não poderia resolver meu problema e me mandou mandar email pro atendimento. se fosse pra fazer isso eu não teria entrado em chat.. Inacreditável!&lt;br /&gt;&lt;br /&gt;QUERO COM URGÊNCIA RECEBER OS CÓDIGOS DOS GIFT CARDS QUE COMPREI!&lt;br /&gt;</t>
  </si>
  <si>
    <t>Por diversas vezes já comprei com a Kabum e não tive nenhum tipo de problema, agora recentemente estou tentando comprar uma TV (samsung qled a60) conforme promoção da Black November no valor 2.999,90 + frete, e por duas vezes recusaram minha compra, na primeira recusa entrei em contato via telefone com a Kabum, falei com o atendente Maick, 24/11/2021 as 15:30, o mesmo me informou que foi por divergência de dados que a compra foi cancelada porem não tinha a informação de  qual seria essa divergência, revemos todos os dados juntos e  na conversa informei que o cartão de credito usado na compra era em nome da minha esposa, o atendente informou que poderia ser esse motivo da divergência (nunca tinha ouvido falar disso), então, efetuei novamente a compra pelo login dela após ter feito uma revisão antes no cadastro em todos os dados dela para não corremos risco de perdemos a compra e por fim a promoção..&lt;br /&gt;E novamente depois de algumas horas, pedido cancelado novamente, as duas vezes a compra foi confirma pelo cartão normalmente;&lt;br /&gt;&lt;br /&gt;Na minha opinião trata-se de uma propagando enganosa a qual a Kabum não está vendendo o produto pelo valor indicado na promoção e usando isso em forma de estratégia para chamar atenção do consumidor, pois tenho certeza que se eu efetuar a compra da TV agora com + de 2000,00 reais mais caro a compra vai ser efetivada até o fim.&lt;br /&gt;&lt;br /&gt;22/11/2021 1 tentativa de compra : N PEDIDO 27086378&lt;br /&gt;24/11/2021 - 2 tentativa de compra : N PEDIDO 27119569&lt;br /&gt;&lt;br /&gt;&lt;br /&gt;Obs: O credito da 1 compra ja foi estornado, aguardo o estorno da 2 compra.&lt;br /&gt;&lt;br /&gt;E exerço meu direito legal de consumidor, solicitando que habilite minha compra no preço promocional que foi anunciado antes do cancelamento da compra.&lt;br /&gt;&lt;br /&gt;Tenho todos os prints do site e do cartão referente as compras.&lt;br /&gt;&lt;br /&gt;Aguardo retorno.</t>
  </si>
  <si>
    <t>Comprei o produto no site dia 16. Após o produto sair para entrega, houve comunicação de extravio no dia 19. &lt;br /&gt;&lt;br /&gt;Desde então, após muito reclamar, geraram um novo pedido &amp;quot;fantasma&amp;quot; na plataforma. Porém não geram nova NF, não entregam novo produto à transportadora e a  única comunicação que eu recebo é a de que preciso esperar. Sem um SLA, um novo prazo ou qualquer outro tipo de informação além de: Espere..&lt;br /&gt;&lt;br /&gt;</t>
  </si>
  <si>
    <t>Recebi um e-mail dizendo que minha encomenda saiu pra entrega ontem as 16:20. Fiquei horas e horas aguardando e nada.&lt;br /&gt;Hj já é dia 26 e gostaria de saber aonde tá o entregador com a minha encomenda?&lt;br /&gt;&lt;br /&gt;Ele tá fazendo entregas a pé? Pq não justifica a demora pra entregar ja que ele se encontra em rota de entrega. Preciso de um parecer ou vou cancelar a compra.&lt;br /&gt;&lt;br /&gt;</t>
  </si>
  <si>
    <t>Fiz uma compra de uma tv, sem nenhuma explicação eles cancelaram minha compra porém mesmo assim foi debitado no cartão! Vou ter que pagar uma parcela enorme sem ter nenhum produto ! Nunca vi isso !</t>
  </si>
  <si>
    <t>Meu nome é José Maria e comprei pelo aplicativo da Kabum, em 20 de novembro de 2021, uma cadeira CADEIRA GAMER HUSKY GAMING  STORM, por conta do preço competitivo.&lt;br /&gt;Depois de completada a compra, recebi um e-mail da  Kabum, informando que deveria entrar em contato com a operadora de meu cartão de crédito, para que a compra fosse aprovada.&lt;br /&gt;Uma hora depois, entrei em contato com a Ourocard Visa, a qual ratificou que a compra deveria ser aprovada, sim, uma vez que a Kabum TEM RESTRIÇÕES DE PAGAMENTO COM A OPERADORA. a VISA ne informou que deveria refazer a operação.&lt;br /&gt;Fui, novamente, ao aplicativo e tive de fazer uma nova compra, uma vez que não havia a opção refazer o pedido. Em seguida, remeti um e-mail para o faleconosco@kabum.com.br, solicitando que cancelasse o primeiro pedido. &lt;br /&gt;Em torno de três horas depois, percebi que um novo débito pela Kabum, havia sido feito em meu cartão de crédito. Tentei fazer um contato pelo chat e não consegui. Tentei o telefone do SAC (19) 2114.4444  e também não consegui, mesmo sendo sábado às 18h, ainda dentro do horário de atendimento, que é previsto até às 20h, conforme está no site. &lt;br /&gt;Restou-me, encaminhar um novo e-mail ao faleconosco@kabum.com.br, mais uma vez esclarecendo e solicitando o cancelamento do valor relativo à segunda compra efetuada.&lt;br /&gt;Logo no dia útil seguinte, na segunda dia 22 de novembro, recebi por volta das 07h20, um e-mail da Kabum, informando que o pedido indevido acabava de ser separado para se encaminhado.&lt;br /&gt;Liguei ao SAC às 08h23 e o atendente Miguel recebeu meus esclarecimentos e solicitação de estorno da compra indevida. Ele me informou que não poderia cancelar o pedido, uma vez que, automaticamente e no sábado, já havia sido despachado, mesmo tendo encaminhado o meu e-mail ao faleconosco@kabum.com.br.&lt;br /&gt;Informou que o procedimento seria não receber o produto na entrega e que, aí sim, eu teria meu estorno. Não me deu nenhum número de protocolo, uma vez que a Kabum não registra atendimentos por meio de protocolos, conforme o Miguel me informou.&lt;br /&gt;Mais uma vez, remeti um novo e-mail faleconosco@kabum.com.br, novamente sem qualquer resposta (ainda não me responderam nada e o e-mail não retornou como inválido). &lt;br /&gt;Por fim, acabei recebendo as duas cadeiras e não responderam minhas solicitações por e-mail. Tomei a decisão de receber as duas cadeiras POR NÃO ACREDITAR que a Kabum me estornaria, ou seja, medo de devolver o produto e a loja não fazer o estorno. &lt;br /&gt;Cabe ressaltar que nunca vi esse tipo de procedimento. Normalmente, há a possibilidade de estono na maioria dos estabelecimentos, quando solicitado imediatamente, o que não ocorreu de forma alguma com a Kabum.&lt;br /&gt;No aplicativo, há até a opção de arrependimento da compra, que não funciona. Não consigo, nem mesmo, fazer uma avaliação do produto, nem no aplicativo e nem no site.&lt;br /&gt;Ou seja, COMPREI UM PRODUTO QUE NÃO QUIS. Fiz reclamações diversas em tempo mínimo e não recebi qualquer resposta ou atenção por parte da Kabum, o que me leva a NUNCA MAIS COMPRAR OU CONFIAR NA KABUM.</t>
  </si>
  <si>
    <t>Adquiri um monitor em 16/11/2021 com entrega prevista para dia 22/11/2021. Não houve entrega dia 22/11/2021 e ontem o sistema da Sequoia, parceira da Kabum acusou que o produto tinha saído para entrega. Como moro em um prédio com portaria estava ansioso pois sabia que o produto teria chegado e estaria na portaria. Pois bem, não chegou e para minha surpresa o sistema da Sequoia atualizou para DESTINATÁRIO AUSENTE.&lt;br /&gt;&lt;br /&gt;Entrei em contato agora com o chat da Kabum! para tentar uma solução ou cancelar a compra, não consegui. Ou seja, não sei quando o produto vai chegar, se é que vai chegar e paguei 42 reais de frete para ser feito de palhaço!</t>
  </si>
  <si>
    <t>no cadastro do meu pai tentei comprar 1 tv e fiz a operação 3 vezes pois a operação anterior sempre era cancelada, desconheço os motivos.. acontece que o limite do meu cartão foi todo comprometido como se tivesse efetuado as operações e não foi completado nada! liguei na operadora do cartão e os mesmos disseram que a kabum deve efetuar o estorno ( de uma compra que nao foi nem feita, so estão segurando meu limite)&lt;br /&gt;KABUM, preciso usar meu cartão para compras de casa, necessidades urgentes! Um absurdo voces segurarem o limite do meu cartão sendo que nao existe a compra!!!!!!! ja liguei e pedi cancelamento e estorno, e voces estão dificultanto e muito esse processo!&lt;br /&gt;Estou totalmente decepcionada com a forma de trabalho da kabum!</t>
  </si>
  <si>
    <t>Faltavam 4h para terminar uma oferta de aspirador de pó, da marca própria, e no site dizia haver 60 unidades disponíveis. Foi negada a compra dizendo que digitei errado o código verificador. Refiz a compra, com outro cartão, e dessa vez dizia haver ainda 26 unidades do produto. A operadora chegou a confirmar que o cartão tinha limite e estava ativo, mas novamente a compra foi negada no site dizendo que novamente eu errei o código verificador. Como pode a operadora confirmar que o cartão está ativo e tem limite disponível e o site &amp;quot;inventar&amp;quot; que eu digitei algo errado? Se não vão manter a oferta, tirem do site. Fingir erro do cliente pra não cumprir a oferta é sacanagem..</t>
  </si>
  <si>
    <t>Hoje fiz uma compra de um monitor que no anuncio tinha senguinte descriçao.&lt;br /&gt;Monitor Profissional Asus ProArt 34 IPS, 4K UHD, HDR 400, 100% sRGB, Calman Certified, HDMI/DisplayPort/USB-C, Ajuste de Altura - PA329CV.Por ser um monitor que atendia a minha necessidade eu comprei no pix.Mas horas apos o anuncio mudou.Monitor Gamer Asus 27 LED, Wide, 165 Hz, Full HD, 0.5ms, Adaptive Sync, HDMI/DisplayPort, Ajuste de Altura, Vesa, Som Integrado - VG278QR.E esse monitor nao atende minhas necessidade,gostaria de saber como podemos resolver isto.</t>
  </si>
  <si>
    <t xml:space="preserve"> </t>
  </si>
  <si>
    <t>Comprei um produto na kabum  que está demorando pra atualizar o status. &lt;br /&gt;E também  queria saber oque significa esse status atual do produto?&lt;br /&gt;Pedido 27113448</t>
  </si>
  <si>
    <t xml:space="preserve">Comprei um SSD recentemente, selecionei o endereço que queria que fosse enviado, pagamento aprovado. Depois de dois dias recebo um email dizendo que o &amp;quot;O sistema encontrou divergência no endereço cadastrado e endereço de entrega&amp;quot; e pedia para retornar um email confirmando o endereço de entrega. O problema já começa aí, tu seleciona um endereço para entrega e depois de dois dias te mandam um email pedindo pra confirmar o endereço. Não bastando isso, no dia seguinte recebo um email dizendo que o &amp;quot;Pedido estava aguardando retorno do cliente&amp;quot;. Tento entrar em contato pelo chat, sem atendimento até agora. Que decadência. </t>
  </si>
  <si>
    <t>No dia 19 de Novembro de 2021, abri um protocolo de numero 2509015211119. Após alguns dias me pediram mais fotos do produto para analisar, no dia de hoje 25/11/2021 recebi que meu produto não iria ser trocado pois ele teve um defeito físico no produto, sendo que o produto ja veio desta forma, com marcas de amassado na caixa do produto (relatada por foto), o produto nunca foi utilizado e nem instalado. após a resposta negativa sobre a troca, entrei em contato com o chat da empresa pedindo melhores explicações e se teria alguma forme de eu responder esse protocolo pois ele foi encerrado pela loja, e o que foi me respondido é que eles não poderiam fazer nada.</t>
  </si>
  <si>
    <t>Fiz a compra de uma TV Sansung QLED na promoção pela conta do meu marido, usando meu cartão de crédito. O limite do meu cartão foi debitado, porém, a compra foi cancelada por divergência, por que o cartão não era no nome do meu marido (nunca vi isso na minha vida) mas tudo bem. Liguei na Kabum e fui informada que teria até 30 dias para o limite ser liberado na conta, como queriamos muito a TV com a promoção, usei todo o resto do meu limite e dessa vez fiz o pedido pelo meu login, todos meus dados corretos, o cartão em MEU NOME e novamente, limite usado, porém, compra cancelada! Resumindo, perdi a promoção, a TV aumentou 2 mil reais o preço e meu limite todo usado e não consigo comprar em outra loja KKKK Isso pra mim foi a maior falta de respeito que já sofri com alguma loja. Gostaria de uma posição da KABUM de pelomenos me ajudar a comprar a TV com a promoção, pq agora vou ser lesada. &lt;br /&gt;NÚMERO DO PEDIDO: #27119569</t>
  </si>
  <si>
    <t>Solicitei uma smart tv da LG no site aproveitando a promoção de blackfriday, num do meu pedido 27043285. Chegou até que bem rápido mas quando liguei já percebi que a tv estava com defeito. Ela fica muito lenta para qualquer função mesmo as que não utilizam internet, para o som do nada e de vez em quando fica preta, aí tento fazer qualquer função nela e não vai, até para desligar demora uns 10 segundos depois que eu apertei. Não consigo fazer a solicitação de arrependimento e devolução no site, tanto o site quanto o aplicativo simplesmente travam na hora de eu solicitar. Engraçado que para comprar ambos são super rápidos e práticos mas para solicitar uma troca resolvem trancar. Tive que solicitar essa troca manualmente pelo telefone da Kabum mas achei estranho que não tem nenhum número de protocolo. O atendente Luca me pediu para aguardar o prazo de até 3 dias para que me enviem e-mail pedindo as fotos da televisão e me orientando de como fazer a devolução para receber meu estorno. Estou muito triste pois vou acabar não conseguindo comprar outra televisão a tempo de promoções de blackfriday já que vai demorar todas essas transações para que eu finalmente consiga um estorno. Não tenho mais limite para comprar outra tv e ainda vou ter que acabar pagando a primeira parcela dessa tv que me foi entregue com defeito e me encontro aqui sem nenhum protocolo ou orientação de uma televisão que chegou hoje e não pude utilizar nenhum minuto.</t>
  </si>
  <si>
    <t>Boa tarde!&lt;br /&gt;&lt;br /&gt;No dia 23/11/21 comprei uma cadeira gamer na Kabum, porém desde a data não estão me dando o suporte com a atualização do pedido no site que não esta sendo feita até a data de hoje. &lt;br /&gt;&lt;br /&gt;venho através deste pedir auxilio com os mesmo e mostrar a indignação com o atendimento precário do estabelecimento no qual ao iniciar um chat para saber o que esta acontecendo e logo em seguida pediram uns dados não terminei nem de digitar meu nome e fecharam como se eu estivesse offline.</t>
  </si>
  <si>
    <t xml:space="preserve">Realizei um pedido no site do Kabum dia 23/11/2021 pedido (27089320), onde ficou em análise de aprovação. No dia seguindo o status do pedido estava como cancelado, porém, até o momentos o valor está descontado na minha fatura, ou seja , comprometeu um crédito de 2.100 reais. Um absurdo, nunca vi isso , cancela a compra e desconta o crédito da pessoa ??? Falta de respeito com os clientes, minha primeira e última compra no site, pois me prejudicou muito. Em contato com a central de atendimento me informaram que tem que esperar o fechamento da fatura. A questão é , como vou pode comprar o que eu queria sendo que a Kabum comprometeu meu crédito ??? Aguardo estorno URGENTE. </t>
  </si>
  <si>
    <t xml:space="preserve">Comprei um aspirador de pó robô em preço promocional no site da Kabum no dia 23/11/21 no cartão de crédito. O mesmo já foi lançado no extrato de pagamentos do cartão. porém sem um motivo plausível cancelaram minha compra alegando divergência de informações. Recebi um e-mail tempos depois da realização da compra informando que os dados do cartão e os dados cadastrais estão divergentes.o que não é verdade pois o cadastro no site é em meu nome com meu CPF assim como o cartão de crédito. Tentei entrar no chat mas fiquei horas esperando. e nenhum atendente me atendeu. Mandei um email para faleconosco@kabum.com.br e ainda não tive retorno. Espero resolver a situação por aqui visto que eu realizei a compra no período em que o produto estava disponível em um determinado valor e agora não consigo comprar novamente pois o preço aumentou. E não cabe simplesmente cancelar sem nenhum motivo cabível já que está tudo certo com meu cartão de crédito e dados cadastrais. Espero uma resposta por parte da empresa. </t>
  </si>
  <si>
    <t>Efetuei o cancelamento do pedido #27117757 e, por conta disso, tinha disponível um valor considerável na minha conta da KABUM para usar como crédito no site.&lt;br /&gt;Hoje (25/11) apareceu uma oportunidade de compra de uma &amp;quot;Placa de Vídeo Asus TUF NVIDIA GeForce GTX 1660 TI T6G Evo Gaming, 6GB GDDR6, NVIDIA Turing Architecture - 90YV0CT9-M0NA00&amp;quot; no valor de R$ 3268 para quem é cliente prime.&lt;br /&gt;Assim sendo, incluí no carrinho 2 placas e a assinatura prime.&lt;br /&gt;O crédito disponível era mais que suficiente para efetuar a compra dos referidos produtos. Porém, na hora que eu colocava em &amp;quot;finalizar a compra&amp;quot;, eu era redirecionado para a tela anterior de selecionar o tipo de pagamento (só aparecia boleto no valor de R$ 0,00). Mesmo selecionando o boleto (única opção), eu ia para a tela seguinte de finalizar o pedido e, novamente, voltava para a tela anterior de selecionar o tipo de pagamento.&lt;br /&gt;Entrei em contato via chat com a atendente Monique Isabel, dia 25 de Nov de 2021, às 14:19 relatando o problema e, após muita demora, às 14:40 ela mandou a seguinte mensagem: &amp;quot;Entendi, tenta deslogar e logar no site novamente e refaça a compra.&amp;quot;. No minuto seguinte, SAIU DA CONVERSA e me deixou sem nenhuma solução (prints em anexo).&lt;br /&gt;Por conta desse problema técnico, o tempo foi passando, passando, passando, eu não tive a opção de efetuar o pagamento por outro meio que não fosse o crédito disponível e, no fim das contas, a oferta encerrou e não comprei.&lt;br /&gt;Considerando, portanto, que possuo crédito em conta e que ainda possuo interesse no produto, peço que a KABUM entre em contato comigo para finalizar o pedido e cumprir com a oferta apresentada, nos termos do art. 35, I do CDC.&lt;br /&gt;Obrigado</t>
  </si>
  <si>
    <t>Fiz uma compra no dia 24/11/2021, de um Ipad no valor aproximado de 8400 reais e aproveitei uma promoção do Santander onde dava 21% de cashback. A compra foi autorizada pelo banco (inclusive usou limite do meu cartão) mas foi cancelada pela Kabum sem nenhuma explicação.&lt;br /&gt;Fiz a compra novamente no mesmo dia pra aproveitar a promoção do cashback (que só valia naquele dia) e desde então a compra está em análise.&lt;br /&gt;O valor do Ipad agora é 12.000 reais e não tenho mais acesso a promoção de cashback.&lt;br /&gt;Porque a Kabum cancelou a compra? Apenas pra eu não participar da promoção? Quando entrei em contato o atendende disse que não podia me falar o motivo do cancelamento</t>
  </si>
  <si>
    <t>No dia 23/11/2021 foi feito uma compra onde a mesma foi cancelada no dia pela loja, porém a transação ficou presa entre a empresa e o operadora.&lt;br /&gt;Procurei auxilio lingando no suporte da empresa e a mesma só me informou que, a compra não foi capturada e não há como falar com o setor responsável (financeiro), sendo assim procurei a operadora do cartão, já estes me informaram que foi capturado sim e a transação está com a KABUM (inclusive me passaram o numero da transação). &lt;br /&gt;O problema é, preciso comprar. O limite esta preso por essa compra cancelada sem ao menos contatar o cliente,  e não tenho uma resposta resolutiva apenas aguarde, não posso esperar passar de hoje.&lt;br /&gt;Como faço para liberar o limite que esta preso?</t>
  </si>
  <si>
    <t>No dia 23/11/21 eu estava a procurar uma cadeira gamer de melhor qualidade para meus 2 filhos na internet e numa página tinha uma propaganda de uma cadeira Husky e me chamou a atenção pelo alto valor de R$849,95 e pensei, &amp;quot;meu deus, deve ser um modelo novo por este preço&amp;quot; pois as 2 últimas que adquiri no Kabum da marca Husky  modelo Snow não duraram nada inclusive sendo trocado uma delas o assento e logo depois o encosto e logo que venceu a garantia não dava mais para sentar nelas pois a espuma sumiu de tão vagabunda que é e no site diz &amp;quot;&amp;quot;&amp;quot; espuma de alta qualidade&amp;quot;&amp;quot;, &amp;quot;&amp;quot;&amp;quot;aguenta 130kg&amp;quot;&amp;quot;imagina se não fosse de qualidade e não aguentasse o peso informado, meus filhos pesam 80kg um e o outro 69kg. Inclusive antes de jogar fora só para constar, eu tirei todo couro PU que é vagabundo e resseca logo no primeiro ano para ver a tal espuma de qualidade e adivinhem amigos consumidores, a espuma é refugo de sobras picotadas, são flocos de sobra de todo tipo de cor e tamanho prensada formando o acento. É o pior tipo de espuma que existe pois é resto de espumas e o assento é de compensado fraco prensado em laminas. O preço a 30 dias atrás estava igual as outras cores mas quando vi que apenas pela cor estão cobrando R$894,70 ou um baita desconto a vista por R$849,95 me revoltei, pois eu não gostaria de ser enganado também. Este Kabum é uma piada. Antes da Black subiram uma cadeira simplesmente pela cor? Custava R$499,00 / 509,00. Fiquei furioso por estarem a enganar um futuro comprador cobrando quase R$900,00 por uma cadeira comum. Eu já estava furioso com esta loja por isso, aí para minha surpresa estou passando numa avenida aqui da minha cidade no dia de hoje 24/12 onde tem várias lojas de móveis para escritório e eu vi a mesma cadeira, exatamente igual a esta do Kabum, o mesmo courino PU, a mesma base de metal. Me dei o trabalho de parar e ver o valor, R$259,00. Acorda consumidor Brasileiro, estas empresas nos enganam o tempo todo. Olhem a diferença de valores. Qual empresa cobra o dobro ou o triplo pelo mesmo produto somente pela cor? Só o Kabum mesmo. E não se enganem com os preços deles pois vários produtos vendidos por eles, mesmo com desconto chega a ser mais caro, fora o frete que eles cobram. Fujam desta loja, opções não faltam nas grandes cidades e na internet, pesquisem. Não se atirem. E não me venham com o papo de impostos, corona, dólar e blablaba. Amigo consumidor, pare e pense, se uma loja de cidade grande que compra poucas unidades e vende a mesma cadeira por metade do valor do kabum e se for comparada com a cor verde, 3 vezes e meia, vocês realmente acham que  o Kabum que compra milhares de cadeiras deste mesmo modelo paga mais caro pela mesma cadeira? Enquanto nós brasileiros formos trouxas de pagar o valor que estas lojas nos cobram por produtos de qualidade duvidosa sempre seremos reféns destes empresários gananciosos que somente visam o lucro incessantemente, mas no momento que nós todos pararmos de pagar por produtos de péssima qualidade eles nunca mais vão fazer este tipo de coisa. Pena que não dá para postar aqui no RA vídeos pois eu iria postar com maior prazer eu desmanchando a cadeira com espuma de alta qualidade deles e mostrando o quanto somos enganados por esta empresa mesquinha e gananciosa ao tentar enganar os consumidores ao vender uma cadeira de não mais de R$300,00 por quase R$900,00. Faço um desafio ao Kabum, provem através de nota fiscal de compra que vocês adquirem por uma fortuna esta cadeira Snow verde para  poder justificar a revenda a tal preço esta cadeira de R$894,70 e se provarem eu venho aqui no RA e pesso desculpas para vocês e se vocês pagam realmente um valor super alto somente pela cor o setor de compras de vocês é muito incompetente pois jamais irão vender a mesma cadeira por quase 4 vezes o valor da cor branca por exemplo somente por ser verde. Tá lançado o desafio. Grato pela atenção.</t>
  </si>
  <si>
    <t xml:space="preserve">numero do pedido : 26648793&lt;br /&gt;&lt;br /&gt;Fui enganado por esta empresa, que me vendeu um webcam fora de estoque e havia outros 2 produtos, fora a divergência de informação entre as atendentes &lt;br /&gt;fica o repúdio total sobre o sistema de vocês tratarem as mercadorias, melhorem antes de vender pois isso é ridiculo 15 dias esperando um produto para trabalho, &lt;br /&gt;arrependimento demais comprar com vocês.&lt;br /&gt;me informaram que iriam ver a possibilidade de enviarem outro produto, SEM CONFIRMAÇÃO &lt;br /&gt;espero que resolvam pois eu quero os 3 produtos e não esperar até dia 30/11 sendo que posso receber agora me poupem </t>
  </si>
  <si>
    <t>Além de cancelarem minha compra, não estornaram, então não tenho mais limite pra fazer nenhuma outra compra na Black Friday.&lt;br /&gt;&lt;br /&gt;Me senti completamente lesado, sem contar com todo o prejuízo que vou ter pq não posso mais aproveitar promoção alguma.&lt;br /&gt;&lt;br /&gt;Fiz questão de vir aqui reclamar, e vou fazer questão de falar mal da empresa pra todo mundo que conheço.&lt;br /&gt;&lt;br /&gt;Tô puto de raiva.&lt;br /&gt;Vou ter q esperar mais 1 ano pra montar 1 pc de novo. Que merda!&lt;br /&gt;&lt;br /&gt;Essa empresa é uma piada!!</t>
  </si>
  <si>
    <t>Fiz um pedido (#26753044), que até chegou antes do prazo, mas um dos produtos (Apoio para Pés Husky Technologies 100), veio quebrado dentro da embalagem, que aparentemente estava intacta, minutos após a entrega, percebendo a avaria, entrei em contato com a KaBuM! pelo chat, e me instruíram, pelo próprio site mesmo, a abrir um protocolo (#2512713211122) , coisa que eu fiz prontamente, com fotos, tanto do produto, como da embalagem do produto, e aguardei.&lt;br /&gt;&lt;br /&gt;Depois de alguns dias, recebi um e-mail da KaBuM!, pedindo mais fotos, mas agora da embalagem grande que vieram todos os produtos, porém, está que era muito grande, eu já havia descartado, e sinceramente não achei que havia necessidade de guardar, pois em nenhum momento do passo-a-passo isso ficou mencionado.&lt;br /&gt;&lt;br /&gt;Entrei novamente em contato com a KaBuM!, pelo chat mesmo, pois pelo telefone (19 2114.4444)  que o site fornece, já entra a chamada que o telefone está programado para não receber ligações, mas confesso que este apenas tentei sem muito esforço, porque o chat geralmente atende rápido, mesmo se mostrando ineficiente, já que toda resposta é &amp;quot;aguarde o recebimento de um e-mail, porque vamos passar pro setor responsável&amp;quot;.&lt;br /&gt;&lt;br /&gt;Bom, aguardei mais alguns dias, e como não obtive nenhuma resposta, resolvi novamente entrar em contato com o Chat, que me atendeu prontamente, e me informou que meu pedido de garantia, havia sido recusado, pois não conseguiram comprovar a avaria, como tudo na vida parece que você precisa por o pé na mesa pra dar certo, resolvei abrir uma reclamação aqui.&lt;br /&gt;&lt;br /&gt;Aguardo um posicionamento, porque eu tenho a sensação que estou em um looping burocrático sem o poder de provar nada.</t>
  </si>
  <si>
    <t>Fiz um pedido hoje logo depois quis cancelar pois o protudo não tem garantia,alegaram que o priduto já tinha sido enviado e não podiam cancelar,só que no aplicativo ainda estava em sepaçao,espero devolver e ter o reembolso.</t>
  </si>
  <si>
    <t>Fiz um pedido de water cooler e uma placa mãe. Número #27039011. Ontem me entregaram somente o water cooler, entrei no site e deu como pedido finalizado e entregue, sendo que o prazo limite de entrega estava 14/12/2021, agora estou sem a placa mãe e um water cooler que não tem onde ser usado. &lt;br /&gt;Liguei para a loja e a atendente falou que iria encaminhar para o setor responsável, pedi o número de protocolo do atendimento, falou que não existe isso e que só poderia passar o seu nome e horário de atendimento, atendente Caroline data 26/11/2021 horário 8:39.&lt;br /&gt;Resumindo, não recebi meu produto, não tenho opção no site para reclamar no pedido e o atendimento telefônico não me da garantia que vou ser atendido, se não obter resposta aqui iriei no procon.</t>
  </si>
  <si>
    <t xml:space="preserve">Comprei um headset wireless no dia 19/11/2021, e chegou no dia 23/11/2021. Usei menos de uma hora, desliguei e depois de um tempo o liguei de novo porém nao ligava de jeito nenhum, achei que fosse bateria porem nao carregava e nem dava sinal de vida. Então entrei em contato com a propria fabricante do produto (Corsair), eles me atenderem super rapido, mas me mandaram entrar em contato com a kabum pois a garantia seria com eles... Abri um protocolo referente a garantia do produto e nao obtive nenhuma resposta ate agora, entrei em contato com eles de todas as formas (chat, telefone, email e nas redes sociais) alem da uma demora tremenda só davam a mesma resposta, que o protocolo seria respondido em até 2 dias uteis e diversas vezes nem respondiam.. ate agora estou sem nenhuma resposta, o produto foi caro e essa demora toda para acionar a garantia é desrespeitavel com qualquer um. </t>
  </si>
  <si>
    <t>Pedi uma RTX 2060 hoje a noite, 25 de novembro de 2021 por volta da meia noite, custando 3599 reais, achando que ja estava em desconto na black friday. Hoje a tarde olhei o preço novamente e havia novas ofertas da mesma placa e de outras, liguei para o atendimento da kabum querendo cancelar meu pedido e receber meu dinheiro de volta até amanhã para aproveitar as novas promoções do mesmo site. Eles disseram que não podem cancelar meu pedido e que só poderão enviar o reembolso em 5 dias uteis, ou seja após a black friday. não comprarei mais na Kabum, como é possivel eu fazer um pedido e não poder cancelar no mesmo dia?</t>
  </si>
  <si>
    <t>No dia 24/11 realizei uma compra de uma Smart TV Philips 55, 4K UHD, 3 HDMI, 2 USB, WiFi, Bluetooth, Dolby Atmos - 55PUG7625/78, com cartão de credito para dar de presente para meu pai.&lt;br /&gt;No dia 25/11 fui verificar o status da compra e o pedido se encontrava como cancelado, fui procurar o motivo do cancelamento tendo em vista que a compra foi aprovada pelo meu Banco e o fui informado sobre uma divergência nos dados cadastrais. Gostaria de entender pois estou me sentindo como se fosse um trambiqueiro pois os dados do meu cartão de credito são exatamente os mesmos do cadastro no site.&lt;br /&gt;Agora o mais legal de tudo é que hoje a TV aumentou quase mil reais caso eu queira comprar.&lt;br /&gt;Se olharem pro meu histórico de compras vão ver que sempre estava comprando alguma coisa no site agora podem ter certeza que nunca mais levar um real meu.</t>
  </si>
  <si>
    <t>Fiz uma compra pelo CNPJ de um notebook Lenovo Gaming i3, cancelaram meu pedido alegando &amp;quot;divergência de dados&amp;quot; sendo que os dados estavam todos corretos, e até porque já fiz compras na kabum com os mesmos dados e foram aprovados, provavelmente viram que deixaram a oferta muito barata e resolveram cancelar pra não ter que vender pelo preço que achei. Agora não consigo nem achar mais o produto no site. Quero o cumprimento da oferta que comprei!!</t>
  </si>
  <si>
    <t xml:space="preserve">Cobranda indevida, comprei 1 notebook na azul, no site dava como compra cancelada pois eu digitei dados do pagamento diferente do correto, tentei novamente. Então no total fiz 2 compras, mas ambas canceladas pela própria kabum. As duas compras foram parceladas e hoje chegou a minha fatura com 1 notebook parcelado e 2 avista. Gostaria de que se retratassem pois não tenho dinheiro para pagar 2 notebooks a vista. </t>
  </si>
  <si>
    <t>Realizei a compra de um notebook na KaBuM!, com pagamento no cartão de crédito. No primeiro momento que a loja foi lançar o pagamento, ocorreu um problema com meu banco. A loja me comunicou do ocorrido, e então entrei em contato com meu banco para resolver a questão.&lt;br /&gt;Como a KaBuM! havia dito que tentaria uma nova cobrança após duas horas, mas não tentou, entrei em contato com a loja e expliquei o ocorrido, pedindo para que tentassem uma nova cobrança.&lt;br /&gt;Então recebi o alerta de meu banco que a compra havia sido efetuada, e o retorno da KaBuM! de que o pagamento havia sido pré-aprovado e em até dois dias a compra seria devidamente efetuada. Após algumas horas, recebi um novo e-mail da KaBuM! informando que minha compra havia sido cancelada.&lt;br /&gt;Acessei meu banco para tentar entender se o problema era com o cartão, mas encontrei o valor lançado em minha fatura e aguardando processamento.&lt;br /&gt;Quando entrei em contato com a loja para saber o que estava acontecendo (dessa vez via chat do site), fui informado pela atendente de que eu havia mandado um e-mail solicitando o cancelamento, o que nunca aconteceu.&lt;br /&gt;Expliquei que não havia solicitado nenhum cancelamento e que, inclusive, o valor estava lançado em minha fatura aguardando processamento. Pedi para que continuassem com o pedido.&lt;br /&gt;A loja então me informou de que não poderia continuar com o pedido, uma vez que ele havia sido cancelado, e que eu deveria realizar outra compra. Expliquei que não poderia realizar outra compra, visto que o limite do meu cartão estava ocupado com aquela compra.&lt;br /&gt;A KaBuM! não tentou resolver o meu problema, mesmo quando eu solicitei que eles pelo menos segurassem o meu pedido no mesmo valor que eu havia pago. Foi um péssimo atendimento e conduta.&lt;br /&gt;Quero salientar que a confusão foi totalmente ocasionada pela KaBuM!, pois eles que cancelaram meu pedido sem o menor motivo, mesmo já tendo lançado o pagamento em meu cartão. Me prejudicaram não entregando o que venderam, e me prejudicaram ocupando limite do meu cartão, o que me impossibilitou de realizar uma nova compra, seja na mesma loja ou em outra. E tão pouco se esforçaram para resolver o problema, que poderia ter sido resolvido facilmente (era só realizar a venda, pois o pagamento estava em processamento).&lt;br /&gt;Péssima loja. Péssimo atendimento.</t>
  </si>
  <si>
    <t>No dia 19/11/2021 foi efetuada a compra de 12 meses de assinatura de Playstation Plus através do site.&lt;br /&gt;Para a ativação do mesmo, é necessário levar o código a um segudo site no qual não uso e nem quero, chamado Hype.Games.&lt;br /&gt;Como não usei nem vou usar, solicitei devolução e cancelamento no dia 24/11/2021 - reafirmo que não usei.&lt;br /&gt;Em contato com o suporte do site, apenas foi informado que não efetuam cancelamento de produtos digitais - o que já não está correto. Após persistir na solicitação dos meus direitos, segundo o Código de Defesa do Consumidor, usaram como premissa apenas o aviso que aparece no anúncio do produto: &amp;quot;IMPORTANTE: Ao fazer o resgate no site Hype você não poderá mais pedir reembolso.&amp;quot;&lt;br /&gt;&lt;br /&gt;Reafirmei que isso não interfere, pois não resgatei o código e nem sequer pretendo usar o site, portanto estou dentro das normas do CDC e de acordo até com as normas que o site da Kabum informa.&lt;br /&gt;&lt;br /&gt;Sendo assim, Kabum não está cumprindo com suas obrigações e nem respeitando meus direitos como consumidor e cliente.&lt;br /&gt;&lt;br /&gt;&lt;br /&gt;&lt;br /&gt;</t>
  </si>
  <si>
    <t xml:space="preserve">Olá, fiz um pedido ontem, número do pedido #27126900&lt;br /&gt;Valor do pedido: R$ 4.247,19&lt;br /&gt;dia: 24/11/2021&lt;br /&gt;&lt;br /&gt;&lt;br /&gt;O valor foi debitado do cartão de crédito da minha mãe, e hoje, para minha surpresa, ao entrar na plataforma, vi que o meu pedido foi cancelado, eu não fui comunicado por nenhum meio de contato e ainda por cima o valor não foi estornado para o cartão da minha mãe. &lt;br /&gt;&lt;br /&gt;&lt;br /&gt;Ao entrar em contato via e-mail com a empresa, eles me responderam da seguinte forma: &lt;br /&gt;&lt;br /&gt;&amp;quot;Olá Higor, Tudo bem? Espero que sim! &lt;br /&gt;&lt;br /&gt; &lt;br /&gt;&lt;br /&gt;Verifiquei e informo que os pedidos realizados tanto pelo site/app são sujeitos a análise e confirmação de dados. Caso haja divergência nessas informações, o pedido é automaticamente cancelado, esse procedimento é voltado à segurança de nossos clientes.&lt;br /&gt;&lt;br /&gt;Reforço que nenhum valor foi capturado e houve somente a reserva do limite por sua operadora, ou seja, o valor foi disponibilizado para a captura do pagamento, porém devido a este problema não conseguimos realizar o procedimento.&lt;br /&gt;&lt;br /&gt;Sendo assim, o limite retornará ao cartão de crédito utilizado, até o fechamento da fatura, portanto, não deverá ter cobranças referentes á este pedido. Caso note alguma cobrança de valor pedimos que nos retorne. &lt;br /&gt;&lt;br /&gt;Se desejar ainda o produto, orientamos que confirme seus dados cadastrais em seu login e realize uma nova compra em nosso site.&lt;br /&gt;&lt;br /&gt;Lamentamos qualquer descontentamento causado, não foi de nossa intenção.&amp;quot;&lt;br /&gt;&lt;br /&gt;&lt;br /&gt;&lt;br /&gt;Em réplica a resposta deles, os questinei o seguinte: &lt;br /&gt;&lt;br /&gt;&amp;quot;Como eu vou realizar uma nova compra se o cartão não tem limite para isso?&lt;br /&gt;E que dado está errado?&lt;br /&gt;&lt;br /&gt;Eu preciso desses produtos e não tenho mais crédito como faço?&amp;quot;&lt;br /&gt;&lt;br /&gt;&lt;br /&gt;em resposta, eles não me responderam o que fazer:&lt;br /&gt;&lt;br /&gt;&amp;quot;Olá, tudo bem?&lt;br /&gt;&lt;br /&gt; &lt;br /&gt;&lt;br /&gt;Verifiquei que não houve a cobrança de valores e sim somente uma reserva de limite, que é o que ocorre ao informar os dados de um cartão em uma loja online. Como o limite estava disponível, automaticamente foi realizada essa reserva, mas devido ao cancelamento o valor reservado retornará para o cartão utilizado, até o fechamento da fatura. Para se certificar de que a cobrança não será realizada é necessário aguardar o fechamento da mesma, e caso esteja cobrando peço que nos comunique.&lt;br /&gt;&lt;br /&gt; &lt;br /&gt;Agora vamos lá!&lt;br /&gt;&amp;quot;&lt;br /&gt;&lt;br /&gt;&lt;br /&gt;Sigo sem solução do meu problema, e com o limite do cartão de crédito comprometido durante, no mínimo 7 dias.&lt;br /&gt;&lt;br /&gt;&lt;br /&gt;Eu quero o meu pedido! </t>
  </si>
  <si>
    <t xml:space="preserve">Comprei diversas peças para montar meu computador, quando eu terminei de montar percebi que não deu vídeo para o monitor e o mouse nem o teclado não acenderam. Entrei em contato com a empresa para acionar a garantia do produto, e eles só estão me enrolando, já liguei, já mandei mensagem pelo aplicativo, já mandei email como as fotos e nada, além da demora para responderem eles simplesmente não querem resolver. </t>
  </si>
  <si>
    <t>Fiz um pedido de número 26780750 com a Kabum de alguns produtos, na nota estava mostrando que havia dois volumes, porém no dia 23 de novembro só chegou um dos dois volumes, o volume 2/2&lt;br /&gt;&lt;br /&gt;Fui na portaria do predio e vi as câmeras, e foi mostrado que só houve a entrega de apenas 1 das caixas mesmo.&lt;br /&gt;&lt;br /&gt;Entrei em contato com a tranportadora GFL prestadora de servico da Kabum, por email e nao tive sucesso de retorno e nem por telefone.&lt;br /&gt;&lt;br /&gt;Entao entrei em contato ontem com a Kabum via email que disse que abriu uma ocorrência com a transportadora, e que o  setor de transporte já está cobrando uma posição e um prazo para finalização da entrega junto a transportadora, hoje mandei um email de manha procurando saber da situacao do produto e nao fui respondido.&lt;br /&gt;&lt;br /&gt;Gostaria de saber onde esta meu produto, se isso vai chegar algum dia, ou se tenho que implorar que me entreguem o que ja paguei.&lt;br /&gt;&lt;br /&gt;&lt;br /&gt;</t>
  </si>
  <si>
    <t xml:space="preserve">Fiz uma compra de um Nintendo Switch no dia 22/11/2021, foi aprovada e momentos depois a compra foi cancelada por divergência de informações, não tentaram entrar em contato comigo nem nada, eu entrei em contato com o chat e me disseram agora que eu tenho que esperar o fechamento da minha fatura que é dia 10/12 para retornar o limite do meu cartão, ou seja, não irei poder comprar nada na black friday pelo fato de eles não ajudarem a resolver esse problema de divergência de informações </t>
  </si>
  <si>
    <t>Na noite do dia 24/11/21,fiz uma compra no site do kabum,ate um certo momento deu tudo certo compra realizada com sucesso,quando foi de manhã eu vejo uma msg falando q meu pedido foi cancelado.De imediato ligue na central do cartao la me relataram q nao tem nenhum problema com meu cartão,agora fui prejudicado pq estava contando com o produto ninguém sabe o q causou de fato e so justificam falando q deu divergência de informações .</t>
  </si>
  <si>
    <t xml:space="preserve">Propaganda falsa e enganosa PSN Plus 12 meses parcelado em 12 vezes sem juros, porém quando vou fechar o pedido só da opção de pix. </t>
  </si>
  <si>
    <t>Tentei acessar o site da Kabum no dia 24/11/21 e para minha surpresa, descobri que alteraram meus dados cadastrais sem meu consentimento. O que me impossibilita de acessar o site com o login que eu criei em 2016 e realizei compras até março de 2021.&lt;br /&gt;Liguei para questionar quem realizou a mudança dos meus dados cadastrais e não souberam me informar. Desconheço o email o..1@gmail.com registrado para o procedimento de esqueci minha senha e por isso não tenho mais acesso ao cadastro do meu cpf.&lt;br /&gt;Claramente ocorreu um possível vazamento de dados do site ou agiram de má fé internamente.</t>
  </si>
  <si>
    <t>Um descaso. Após tentar efetuar uma compra no dia 22/11/2021 no cartão de crédito, tive a mesma cancelada pela operadora do cartão. Entrei em contato com o banco e resolvi o  No dia 23/11/2021 tentei novamente efetuar a compra, e dessa vez o pedido 27103822 foi aprovado pela operadora do cartão, porém CANCELADO pela própria Kabum. Entrei em contato novamente com o banco e fui informado de que a compra havia sido aprovada (número de aprovação 634343 dia 23/11/2021 às 20:13 horas) e seria cobrada normalmente. Porém, ao entrar em contato com a Kabum, fui informado pela atendente Vivian que meu pedido realmente havia sido cancelado e não há a possibilidade de reverter. Estou sem o produto, com o valor sendo cobrado no cartão E SEM POSSIBILIDADE DE COMPRAR EM OUTRA EMPRESA. Espero uma solução!! Que descaso..</t>
  </si>
  <si>
    <t>Comprei um notebook, tá demorando pra fazer a entrega. Tento entrar em contato com o atendimento da Kabum, é horrível! Demora muito pra responder,  quase 30min para concluir uma conversa. O pedido ta como &amp;quot; aguardando a coleta da transportadora l&amp;quot; já faz 3 dias e nada!!! Super insatisfeito.&lt;br /&gt;Número do pedido: 27046131</t>
  </si>
  <si>
    <t xml:space="preserve">Fiz uma compra com a Kabum no início de Novembro e paguei um frete relativamente alto com prazo de 2 dias. Mas chegando na transportadora simplesmente sumiram com meu pedido e quase 1 mês depois não tenho previsão nenhuma de entrega do mesmo. Já liguei na kabum e o telefone deles está programado para não receber chamadas, ninguém responde os e-mails e o chat de atendimento ao consumidor demora horrores para responder e não resolvem nada, mesmo pedir o reembolso está sendo uma verdadeira novela. Não se enganem pela avaliação boa na loja no site como eu fui enganada, seria minha primeira compra na loja e estou super decepcionada, nunca mais compro nada ou indico pra ninguém </t>
  </si>
  <si>
    <t>Comprei um produto eles pediram em PIX com desconto alto. Passei o cartão.&lt;br /&gt;O produto não foi entregue a ngm e eles alegam q entregou.. São uma máfia junto com a Sequoia, entregadores..&lt;br /&gt;Adicionei a justiça por estelionato e extravio&lt;br /&gt;</t>
  </si>
  <si>
    <t xml:space="preserve">Realizei uma compra pela KABUM dia 23/11 na qual no dia seguinte foi cancelada por divergência de dados (na qual já confirmei em meus dados que não existe NENHUMA DIVERGÊNCIA).&lt;br /&gt;Tentei entrar em contato via chat, porém, os mesmos só informaram que não teria como reverter o cancelamento e para aguardar a liberação do limite no cartão de crédito e se eu quisesse o produto era para efetuar a compra novamente. O atendente não deu NEM A POSSIBILIDADE de perguntar outras dúvidas e encerrou o chat. &lt;br /&gt;Assim, entrei em contato via telefone e a resposta basicamente a mesma, somente acrescentando que a atendente sabia o que tinha sido divergido. &lt;br /&gt;Então vamos lá, como irei realizar uma nova compra se NÃO POSSUO LIMITE? e o valor do produto que estava com desconto por conta da black friday? Agora irei que pagar A MAIS por um erro de vocês? &lt;br /&gt;Fico indignada pois essa seria minha primeira compra, na qual havia sido informada por outros clientes que vocês eram ótimos. &lt;br /&gt;Espero que a resposta venha rapidamente, pois irei perder outras ofertas por conta de VOCÊS! </t>
  </si>
  <si>
    <t>Comprei uma cama box pra vim junto em 5 dias u´teis pore´m agr esta~o falando que so´ vai vim colcha~o e a base daqui 45 dias u´teis, eu tento ligar cada hora falam uma coisa ningue´m resolve nada palhac¸ada falta de respeito ningue´m da assiste^ncia.</t>
  </si>
  <si>
    <t>Nunca mais na minha vida eu compro nada neste bosta Bahia.</t>
  </si>
  <si>
    <t>comprei pelo site para retirada em 2 horas e agora esta falando o produto vai esta disponivel em 6 dias. Uma palhac¸ada</t>
  </si>
  <si>
    <t>Comprei uma geladeira e esta~o falando q entregou mais n foi entregue coisa nenhuma.</t>
  </si>
  <si>
    <t>Ola´, foi solicitado sobre protocolo 211118002570, atualizac¸a~o do meu cadastro  em ate´ 2 dias uteis, mas vcs n~ cumprem te ignoram,  e nada faz, passei por varios atendimento CONSTRAGEDOR</t>
  </si>
  <si>
    <t>Fiz 3 tentativas de compra no App da loja e mesmo tendo saldo no carta~o o banco aprovando o pagamento a loja cancela meu pedido, alegando suspeita de fraude.
Senso que liguei para o SAC, falei com Va´rios atendes via whatss e mesmo assim na~o aprovam a minha compra.
Acho isto um absurdo agora o Pobre na~o pode querer comprar uma ma´quina de lavar e 1 geladeira nova que e´ fraude.</t>
  </si>
  <si>
    <t>Meu pedido dia 22/11/2021 n 299680310. Apo´s o pagamento confirmado, 5 dias apo´s, meu pedido foi cancelado sem motivo. Trata-se de uma inversora de solda para trabalho. Sou da e´poca que come´rcio honesto, na~o tendo o produto, comprava do concorrente e entregava para honrar a compra. Somente os moleques cancelavam.
Foi pago e debitado do carta~o de cre´dito. O mi´nimo, seria devolver em dobro pelo transtornos causados. Quem vende e na~o entrega, tem que ter prejui´zo e na~o o consumidor de boa fe´.
No Ponto Frio, se estiver barato, NA~O COMPRE, eles na~o va~o entregar!</t>
  </si>
  <si>
    <t>Casas Bahia  confirma o recebimento do seu pagamento por compra mas infelizmente na~o garante a entrega da sua compra realizadas pelo site.
Pense antes de comprar deles. Eles na~o possuem servic¸os de po´s venda, coisas que ate´ pequenos vendedores de sites como os hospedados no  facebook, e outros fazem com muita qualidade. A Casas Bahia na~o esta´ preparada pra vender, aparentemente criara´ muitos transtornos na Black Friday.
As casas Bahia recebeu o pagamento a` vista pela venda de uma ma´quina de lavar roupas da marca Electrolux, pedido com pagamento aprovado n 296455384  e esta´ se negando entregar o produto vendido.
Esta´ me ameac¸ando  cancelar a compra alegando na~o ter mais o produto no estoque, ainda que continue de forma muito iro^nica e sarca´stica me enviando propagandas para vender exatamente o mesmo   produto que ela mesma (as Casas Bahia) depois de ter vendido afirma na~o ter mais em estoque.
A logi´stica das Casas Bahia aparentemente na~o tem capacidade para ter controle sobre estoque dos itens disponibilizados a` venda ou  ha´ escancarada ma´ intenc¸a~o atra´s destas condutas visto que agora faz propaganda do mesmo produto com prec¸o acima do produto vendido que antes estava  " com desconto".
Apo´s reclamar do atraso na entrega, as Casas Bahia ofereceu no lugar outra ma´quina com caracteri´sticas diferentes de menor valor e ta~o iro^nico quanto falar que na~o tem  o produto e continuar vendendo, foi o vendedor  das Casas Bahia dizer que eu na~o precisaria pagar nada a mais pela ma´quina de menor valor ofertada para substituir a que comprei.
Com o detalhe, o ressarcimento que as Casas Bahia fazem a seus ludibriados clientes, quando o fazem e´ atrave´s de vale comprar para comprar deles mesmo. Imagina tantos danos morais e materiais que estou suportando e apo´s ter que comprar novamente deles.   Nem nu´mero de rastreamento de pedidos as Casas Bahia disponibilizam. Aparentemente a Casas Bahia esta´ se demonstrando mal-intencionada. 
A diferenc¸a de valores na~o me torna mais pobre, todavia penso na~o ser justo continuarem usurpando dos consumidores, recebendo o dinheiro dos consumidores, criando expectativas nesses compradores, fazendo perde-los dias sem sair de casa aguardado a entrega, passando dias sem lavar roupas criando estresse familiar criando angustias pois so´ o que  vem a mente e´ que as Casa Bahia aplicou  um golpe.
Como na~o sou conhecedor das leis, como na~o sou juiz, caso as Casas Bahia continue com estes atos moralmente de ma´ cara´ter vou inicialmente recorrer ao PROCON e talvez ao Ministe´rio Pu´blico, visto que basta uma pequena navegac¸a~o pela Internet e veremos inu´meras reclamac¸o~es e vi´deos de pessoas lesadas pelas Casas Bahia, causando prejui´zo difusos e coletivo a sociedade consumidora.
Comprei das Casas Bahia, se num centro de distribuic¸a~o na~o tem mais o produto, as Casas Bahia continua vendendo por outro centro de distribuic¸a~o que solicite deste outro.
Se for para dar respostas prontas gene´ricas que nada agregam, nem precisam responder.
O quero saber e´ quando ira~o entregar o que eu comprei, que paguei.
Obrigado</t>
  </si>
  <si>
    <t>No dia 19/11 realizei a compra de 4 pneus, o prazo informado era de 3 dias u´teis para entrega (como consta no print, de um outro pedido igual ao meu), apo´s a compra, meu pedido recebeu outro prazo de entrega, sem aviso pre´vio, o prazo foi para 6 dias, amanha~ fara~o 6 dias e nem a nota do pedido foi emitida no site. 
Tenho que viajar e contava com os pneus pra isso, o que as Casas Bahia vai fazer, reembolsa a multa que eu levar? Reembolsa os custos se eu cancelar a viagem? Absolutamente nada! Os pneus estava barato demais pra dar tudo certo, famoso ditado, "quando a esmola e´ grande, ate´ o santo du´vida". Empresa irresponsa´vel.</t>
  </si>
  <si>
    <t>Fiz uma compra pelas casas Bahia, online,uma cadeira de alimentac¸a~o porta´til da Chicco,no dia 18/11/2021 ,por volta de meio dia e pouco,depois de pesquisar com diversas lojas na internet, resolvi comprar com as casas Bahia,com a promessa que chegaria em 3 dias u´teis,que seria dia 23/11/2021, acontece que ate´ agora na~o chegou, ja´ liguei por diversas vezes e toda vez sem soluc¸a~o, estou necessitando muito desse produto,que eu soubesse que demoraria assim, teria comprado com a concorre^ncia (Das lojas Americanas),aonde costumo comprar sempre,e grac¸as a Deus , nunca tive dor de cabec¸a,pois sa~o muito pontuais com a entrega.Deixei de comprar em outra loja,pra acabar tendo esse transtorno com as casas Bahia,se prometem em 3 dias,deveria realmente chegar em 3 dias,pois se for pra ter esse problema,que sejam honestos com o cliente.Na~o ficar prometendo algo que sabem que na~o va~o cumprir, pois o cliente conta com a data estipulada no ato da compra.Tenho um bebe^ e necessito muito dessa cadeira, e´ de extrema necessidade.Estou muito chateada com essa situac¸a~o,esse atraso nu´mero do meu pedido e´ esse da imagem anexada 298991223</t>
  </si>
  <si>
    <t>Fiz a compra do meu celular no dia 11/11 data limite de entrega 5 dias u´teis. Hoje, dia 24/11 e nada do meu produto chegar. Estou precisando e ja se passaram 13 dias, na~o entregaram na data limite e nem se quer mandaram um email avisando, abro a caixa de e-mail toda hora pra ver se tenho alguma noti´cia. Procurei o contato da transportadora VVLOG de Jundiai´ e nem isso foi possi´vel achar. Entrei em contato via whatsapp com o Ponto e a resposta que eu tive foi que eles me dara~o uma resposta em ate´ 7 dias U´TEIS (so´ pode ser brincadeira ne?). A questa~o e´, propaganda enganosa? Me venderam falando que entregariam em 5 dias u´teis e esse foi o real MOTIVO da compra, comprei pela rapidez da entrega!
Totalmente insatisfeito pela falta de considerac¸a~o pelo cliente. Meu produto esta´ parado desde o dia 17/11 na transportadora, o mi´nimo era darem uma satisfac¸a~o e um novo prazo para entrega.</t>
  </si>
  <si>
    <t>Eu eu comprei uma maquina para retirar  na loja eo site, esta escrito  q eu poderia retira em duas horas me  engarao dizendo q dentro de duas horas eu poderia retira o produto fui cancela , e para mim cancelar vou ter q espera 10 dias sabendo q eu paguei em pix isso e´ uma propaganda enganosa eles fala q em duas horas vc retirar fui na loja so depois do dia 29 q vai esta  disponi´vel isso e´ uma propaganda enganosa</t>
  </si>
  <si>
    <t>Boa tarde! 
Tudo bem? 
Fiz um pedido no dia 18/11 e o prazo de entrega seria no dia 23/11 e ate´ o momento na~o recebi. 
Estava acompanhando no site de rastreamento da VVlog transportadora pore´m parou de rastrear no dia 21/11. 
Me informei na central de reclamac¸a~o da ponto frio e me falaram que meu pedido estava com atraso e que iam resolver em 6 dias isso na~o existir. 
Se da~o um prazo de entrega tem que entregar no dia indicado.
Mais o problema e´ entregar a uma transportadora que na~o da´ pra rastrear o pedido e ficamos a Deus dara´. 
E pelo que vi tem muita reclamac¸a~o com essa transportadora e voce^s ainda continuam entregando a ela. 
Uma falta de respeito e considerac¸a~o pelo consumidor.</t>
  </si>
  <si>
    <t>Eu estou precisando do celular pra trabalho 
Eu fiz uma compra numero do pedido 298594764 no dia 16/11/2021 na parte da noite de um smartphone Samsung M12 fiz o pagamento no Valor de R$ 971,10 fiz o pagameto pelo banco BTG+ Quando entro no APP das casas
 bahia meu pedido ta cancelado. Liguei po banco atendente mim informou que o valor foi pago e foi passado pra casas bahia liguei pra casas bahia atendente mim valor que eu tinha que fazer outro pedido ai eu falei como assim outro pedido pra eu paga de novo.  Liguei varias vezes o atendimento da casas bahia na~o e´ dos melhores eles nao atende. Os clientes como deveria ser a pessoa e´ mau atendida pessoa passar constrangimento comprando nesta loja e tirando o App e o site  que eu passei mas de uma semana ligando porque o app e o site sempre ta com defeito ate varias reclamac¸o~es eu fiz sobre o app e o site pra quando veio pegar deu estre constrangimentos pra mim nao compro mas nesta loja nao.eu abrir uma solicitac¸a~o de protocolo 211124039762
Ja. Mandei va´rios comprovante de pagamento pra voces ate agora nada. Eu comprei este celular pra trabalho sou vendedor e tou precisando do celular esto e´ um absurdo ne eu quero a devoluc¸a~o do valor ou o celular eu precisso pra trabalhar ja basta o constrangimento que a pessoa passa ao ligar SAC mau atendido ne. Vou por na justic¸a .</t>
  </si>
  <si>
    <t>Eu fiz uma compra no site do Extra dia 19/11/21 o celular iPhone 12 Apple 64GB Preto Tela de 6,1, Ca^mera Dupla de 12MP, iOS com previsa~o de entrega dia 26/11/21.
Nu´mero do meu pedido 299477457
Recebi o e-mail do Extra que o produto saiu para entrega e quando fui buscar na portaria do meu pre´dio, estava dentro da caixa da Via Varejo um leite condensando Mococa
Quero saber como isso sera´ resolvido pq na~o paguei quase 5mil reais para receber isso.
Muita falta de respeito e seguranc¸a para os clientes. Tanto do Extra quanto da Via Varejo como da transportadora parceira deles a VV Log Ligistica LTDA.
Me prejudicando ainda por cima no meu trabalho que preciso do aparelho para trabalhar.
Quando fiz a compra tinha la´: Vendido e entregue pelo Extra e no dia da entrega no e-mail tinha que seria pela VV Log.
Um absurdo.
A gente paga por algo caro e ainda o frete e´ pago pra acontecer um absurdo desse.</t>
  </si>
  <si>
    <t>Comprei pela plataforma as 11:30 um celular, mas vi que tinha comprado errado e pedi  o cancelamento, mas o dinheiro ficou retido, infelizmente sao muito devagar para resolver um simples problema para o cliente, na hora que comprei foi super rapido, mas na hora de devolver o dinheiro e " uma longa historia " complicado, no Magazine Luiza eles devolvem o dinheiro no mesmo momento.</t>
  </si>
  <si>
    <t>comprei fraldas G e XG e a transportadora entregou apenas o pacote XG e consta no pedido como entregue tanto o pacote XG como o G, no atendimento via atendimento ao cliente querem dizer que esta´ tudo certo com a entrega, desrespeito total com os clientes, agora terei que comprar o tamanho menor, que meu filho esta´ utilizando, pq resolveram que tem 7 dias pra responderem via atendimento ao cliente.
numero do pedido: 298899733</t>
  </si>
  <si>
    <t>Realizei a compra de uma mercadoria no site das Casas Bahia, ja´ expirou o prazo de entrega ha´ 5 dias atra´s e ate´ o dado momento na~o tive uma resposta conclusiva de quando minha compra sera´ entregue, perdi horas e horas em ligac¸o~es, eles na~o tem um mi´nimo de respeito com os clientes po´s vendas, pois ningue´m consegue me informar quando sera´ entregue e nem o motivo pelo qual na~o foi entregue ainda.
Isso quando na~o desligam o telefone na cara da gente !
Nos dados do pedido consta a transportadora Vvlog Logistica Ltda como responsa´vel pela entrega, na~o consigo encontrar o contato dessa empresa em lugar algum e o atendente das casas Bahia se recusa a me passar o contato da empresa responsa´vel pelo transporte.
Estou me sentindo desrespeitada como cliente, como consumidora, espero que tomem uma provide^ncia referente minha compra, pois na~o aguento mais perder horas em ligac¸o~es e estresse na espera da entrega da minha mercadoria.</t>
  </si>
  <si>
    <t>Ontem, comprei um produto sob o pedido 300425311 no app casas bahia. A previsa~o, caso eu pagasse o frete de pouco mais de R$ 42,00 seria entregar hoje (25/11).
Exatamente as 15:01 de hoje, 25/11, recebo um email da casas bahia dizendo que meu pedido foi entregue. Fui na portaria e na~o estava la´.
Agora, me pergunto se mudam o sistema so´ para ficarem dentro da meta de entrega e poder reportar pra chefia que entregam dentro do prazo, ou e´ forma de enrolar o cliente para ganhar tempo, ja´ que quando se abre um protocolo dizendo que na~o recebeu a compra, te da~o de 4 a 10 dias para resolver.
Quer dizer, para que pagar frete de R$ 42,00 sendo que na~o va~o cumprir? Devia ser frete gratuito.
Agora, tenho um protocolo 211125-032466 que diz que EM ATE´ 4 DIAS U´TEIS, o lojista THE GAMES SHOP (www.thegames.com.br) vai entrar em contato comigo para resolver.
Quer dizer, de novo, para que pagar frete caro se va~o dar 4 dias U´TEIS para tentar resolver o problema? Na~o faz sentido.
Ja´ sa~o 17:15, e dependendo da entrega meu condominio na~o vai receber se passar das 20h.
Se eu na~o receber HOJE ainda, 25/11, exijo devoluc¸a~o do Frete, PELO MENOS, o que foi pago, ou vou ter que trazer o CDC aqui para corroborar isso (que me da´ o direito de pedir em dobro?)
Enquanto escrevo a reclamac¸a~o, descubro que o item foi postado ha´ minutos, as 16:51 pela loja a´ transportadora LS TRANSLOG. E agora  a previsa~o e´ segunda-feira, dia 29/11???
Acabei de ligar na transportadora, que disse que sequer o produto esta´ com eles, ligac¸a~o feita as 17:25h a LS Translog.
INACEITA´VEL! EXIJO PELO MENOS DEVOLUC¸A~O DO FRETE!
Eu ja´ na~o compro mais na Americanas.com justamente por atraso, vou ter que parar de comprar com voce^s tambe´m? Alia´s, ja´ parei.</t>
  </si>
  <si>
    <t>No dia 19/11 as 11:19 da manha efetuei uma compra no site do pronto frio na modalidade retirada na loja em 2h apos a confirmac¸a~o do pagamento.
meu pedido foi pago e confirmado as 11:30, apo´s a confirmac¸a~o do pagamento o meu pedido que era de retirada em 2horas mudou sem me comunicar para retirar em 3 dias uteis, coisa que esta errado. Pq o consumidor precisa ser comunicado. 
E se na~o bastasse apo´s eu efetuar o pagamento o mesmo produto mudou o valor 100 reais a menor, isso so pode ser brincadeira do ponto frio. 
O atendimento via chat, wathsapp, ou telefone e horri´vel , os atendentes super mal educado desligando a ligac¸a~o na cara do cliente, fechando o chat no meio da conversa.  preciso de uma soluc¸a~o quanto a estes problemas</t>
  </si>
  <si>
    <t>Comprei um produto no site do Extra no dia 20/11/21, paguei por pix. A previsa~o de liberac¸a~o para retirada do produto era de ATE´ 2 dias u´teis. Hoje, dia 25/11 ainda na~o foi liberado. Ja´ falei com o atendimento do Extra, dia 24 eles diziam que ia liberar no mesmo dia e nada. Hoje na~o falam a previsa~o. Comprei contando com o prazo descrito no site e na~o foi cumprido. 
Quando falam de abrir reclamac¸a~o, eles dizem de um prazo de 7 dias u´teis. 
Ale´m disso a assistente encerrou o atendimento assumindo que eu na~o poderia mais falar.</t>
  </si>
  <si>
    <t>COMPREI 3 APARELHOS DE CELULARES PELO APP INTER SHOP VENDEDOR : SUPERMERCADO EXTRA. CHEGOU SOMENTE 1 APARELHO, TENTEI CONTATO COM TELEFONE DISPONIVEL DO SUPERMERCADO EXTRA (EXTRA PARCEIROS). OS ATENDENTES NA~O CONSEGUEM EXPLICAR O QUE ACONTECEU, NA~O TEM NUMERO DE RASTREIO, NA~O TEM O NOME DA TRANSPORTADORA, OS APARELHOS DE CELULARES SA~O PARA PRESENTE DE ANIVERSA´RIO E ERAM PARA CHEGAR NA DATA PROMETIDA, CADE^ O COMPROMISSO COM CONSUMIDOR? PAGUEI PELO APARELHO, PAGUEI PELA ENTREGA ( QUE NA~O FOI BARATO) E A EMPRESA NA~O CUMPRE O PROMETIDO.</t>
  </si>
  <si>
    <t>Essas sa~o as  Informac¸o~es da entrega pela transportadora que nunca chegou ate a minha casa   
 Notas Fiscais:
6899954/0
 Nro. Pedidos:
22258506600
terc¸a-feira, 23 de novembro
15:02Envio de cancelamento para devoluc¸a~o
15:01Cancelamento de solicitac¸a~o
09:55Insucesso na entrega/coleta
09:54Insucesso na entrega/coleta
segunda-feira, 22 de novembro
17:00Entrega realizada
sa´bado, 20 de novembro
20:27Insucesso na entrega/coleta
20:27Insucesso na entrega/coleta
CARGO BR 1500
09:33Motorista em rota para entrega/coleta
CARGO BR 1500
sexta-feira, 19 de novembro
20:25Insucesso na entrega/coleta
20:25Entrega na~o realizada
CARGO BR 1500
09:25Motorista em rota para entrega/coleta
CARGO BR 1500
06:24Transfere^ncia entre unidades da transportadora conclui´da
CARGO BR 1500
06:15Volumes em transfere^ncia entre as unidades
Sa~o Bernardo do Campo, SP (0005)
00:54Transfere^ncia entre unidades da transportadora conclui´da
Sa~o Bernardo do Campo, SP (0005)
quinta-feira, 18 de novembro
00:00Volumes em transfere^ncia entre as unidades
Duque de Caxias, RJ (0010)
quarta-feira, 17 de novembro
09:50Volumes recebidos pela transportadora para entrega
Duque de Caxias, RJ (0010)
02:43Solicitac¸a~o recebida pelo transportador
Smartphone LG K41S Preto 32GB, RAM de 3GB, Tela de 6,55" V- Notch HD+ 20:9, Intelige^ncia Artificial, Ca^mera Qua´drupla e Processador Octa-Core 2.0
R$ 649,00 - 1 unidade - Co´digo do item: 55006747
Informac¸o~es do produto:
Sem especificac¸a~o
Foto do produto em tamanho pequeno
Smartphone LG K41S Preto 32GB, RAM de 3GB, Tela de 6,55" V- Notch HD+ 20:9, Intelige^ncia Artificial, Ca^mera Qua´drupla e Processador Octa-Core 2.0
R$ 649,00 - 1 unidade - Co´digo do item: 55006747
*Conforme o pedido na~o chegou na data combinada eu fiz o cancelamento de um dos itens e o outro na~o entregaram reclamei com a casas Bahia porem ainda na~o me deram retorno (211121005152) este e o protocolo de atendimento</t>
  </si>
  <si>
    <t>Realizei uma compra do no dia 16/11/2021 com prazo de entrega 5 dias uteis, prazo final no app 24/11/2021.
Transportadora parou de atualizar o andamento no dia 22/11 com " Insucesso ao tentar transfere^ncia os volumes entre unidades".
Hoje dia 25/11/2021 ainda estou aguardando o pedido, abri um protocolo 211125-001547 para aguardar 7 dias uteis.
Quanta desorganizac¸a~o! Ponto ja´ foi uma marca mais ido^nea.</t>
  </si>
  <si>
    <t>Fiz uma compra no dia 03/11/2021 para aproveitar as ofertas da Black Friday desta empresa que considerava ate´ enta~o muito conceituada. Ocorre que estamos no dia 25/11/2021 e ainda na~o recebi meus produtos.
A previsa~o de entrega era 11/11/2021, ou seja, estamos ai´ com duas semanas de atraso.
Eles "empurram" o problema como sendo de uma loja parceira, e desde o dia 11, fiz va´rias tentativas de contato para tentar solucionar o problema, pore´m, tudo o que recebo, sa~o informac¸o~es infundadas e nada de soluc¸a~o..muito menos recebi ps produtos que adquiri..
Uma vergonha! Um exemplo de como na~o se deve tratar um cliente: desrespeito, displice^ncia, descaso e descre´dito!
Decepc¸a~o me define..</t>
  </si>
  <si>
    <t>Comprei pelo site das Casas Bahia dia 22/11, com prazo de entrega dia 24/11. Hoje liguei la´ e me falaram que o prazo para verificarem a reclamac¸a~o e´ de 4 dias u´teis. um absurdo, um descaso. quero meus telefones! Pedido n 299854520 em nome de Avis Budget Brasil S/A</t>
  </si>
  <si>
    <t>Efetuei a compra de um modelador de cachos no dia 6/11, no site havia informado entrega em 6 dias u´teis, hoje ja´ e´ dia 25/11 e nada de entrega. No site informa que no dia 18/11 eles tentaram mas na~o encontraram o enderec¸o pela transportadora Sequoia, so´ que eles na~o ligaram, nada, simplesmente  na~o  encontraram sendo que no mesmo dia recebi outra encomenda pela mesma transportadora. Ate´ ai´ eu tento contato pelo 0800 e nada, assistente virtual que logo encerra o atendimento. Enfim, to cheio de nu´mero de protocolo mas na~o tenho retorno nenhum da Loja Extra. Hoje e dia 25/11 fim de expediente as 18h e nada da minha encomenda. NUNCA MAIS EU COMPRO NESSA LOJA. E eu quero o estorno da minha comprar.</t>
  </si>
  <si>
    <t>Fiz uma pedido no dia 22/11, e as Casas Bahia disse que iria chegar meu produtos dentro de 2 dias u´teis, hj fui pesquisar aonde esta´ meu produto e ele se encontra em Duque de Caxias, decepcionada.</t>
  </si>
  <si>
    <t>Comprei um celular que na~o chegou em meu enderec¸o e consta como entregue.  Transportadora vvlog.</t>
  </si>
  <si>
    <t>Foram gerados 12 boletos no valor de R$ 178,93 no dia de hoje (25-11-2021) com vencimento do primeiro no dia 24-12-2021, fiquei sabendo dos boletos atraves do banco santander que tem um servic¸o de dda que informa  qualquer boleto gerado no  
meu CPF imediatamente. Segundo o que consta no boleto a compra esta´ lanc¸ada com o meu nome e meu CPF com enderec¸o Rua Samuel Klein, 83 LOJA MATR  , cep
09510-125 , na cidade de Sa~o Caetano do Sul em Sa~o Paulo. Pore´m eu moro na cidade de Santos Dumont , MG, e neste dia estou na minha cidade , e eu nunca fui
em Sa~o Caetano do Sul. Reclamei atraves do chat pelo ReclameAqui e disseram para mim que eu teria que ir a loja fisica para resolver o problema. Se foi realizado alguma compra nesta loja foi de forma fraudulenta. Quero que cancelem os boletos.E na~o consegui falar com nenhum dos telefones de reclamac¸a~o , quando chega no atendente a ligac¸a~o e´ interrompida.</t>
  </si>
  <si>
    <t>Fiz uma compra na Casas Bahia, desde o dia 18 que o pedido foi entregue a transportadora vvlog para ser transportado para Jundiai´.
Ate´ agora a localizac¸a~o do produto na~o foi atualizada.
Sem contar que desde que foi entregue a transportadora eles aumentaram mais um dia no prazo da entrega.</t>
  </si>
  <si>
    <t>Efetuei a compra de 2 pneus, recebi a confirmac¸a~o da compra, Qd foi no final do dia , enviaram um e-mail, dizendo q estava em ana´lise.
Liguei pra mais de 12 nu´meros e ningue´m tentou se quer mim ajudar.
Pra poder finalizar a compra, passei mais de 2 horas aguardando em ligac¸a~o pra um sorte de recuperac¸a~o de compras e nada.
Infelizmente somos mal atendido.
E por que somos o cliente !!!! imagem se na~o fosse ? 
Uma vergonha uma empresa desse porte na~o consegui fazer um atendimento e concluir a compra.
Ficar aqui minha declarac¸a~o.
Mais vou ao Procon por que sei que tenho direito.</t>
  </si>
  <si>
    <t>Primeiramente a minha cri´tica vai para o atendimento via chat. Pe´ssimo. Nota dois. Os atendentes simplesmente finalizam na sua cara o atendimento antes do cliente terminar. Verifiquem o protocolo 211125-024149. Parece que os atendentes simplesmente sa~o postos a trabalhar sem nenhum treinamento agredindo sem precisar falar uma palavra. Melhorassss PONTO. Veja a concorre^ncia ao seu lado. O cliente na~o precisa se humilhar para comprar produtos de voce^s. 
Comprei um produto (ar condicionado pedido final 145) que me garante 30990 pontos no programa tudo azul e antes que voce^s me tragam dor de cabec¸a estou deixando registrado aqui a  minha insatisfac¸a~o quanto ao site de voce^s que saem totalmente desconfigurado, pore´m todos os passos foram efetuados corretamente inclusive a orientac¸a~o de apertar o bota~o acumule pontos na finalizac¸a~o da compra, compra esta que ja´ foi aprovada. Aguardo meus pontos no programa tudo azul e recebam meu feedback como oportunidade de melhoria. Site muito ruim e atendimento via chat humilhante.</t>
  </si>
  <si>
    <t>Comprei um smartphone no dia 19/11/21 e o pedido foi pago e aprovado no mesmo dia. A entrega estava para o dia 24/11/21 e o status do pedido nem mudou no site.
Tremendo falta de logi´stica da loja, abri o protocolo de reclamac¸a~o no site e o mesmo informou que tem ate´ 10dias u´teis para responder!!!
protocolo: 211125-007675
pedido: 299500618
Por uma diferenc¸a muito pequena, deixei de comprar em uma loja mais conceituada e o arrependimento na~o poderia ser pior.</t>
  </si>
  <si>
    <t>NESTA DATA, 24/11/2021, POR VOLTA DAS 13:56HS, COMPARECERAM ATE´ A LOJA CASAS BAHIA, LOCALIZADA NA AVENIDA
AFONSO PENA, 217, CENTRO, UBERLANDIA/MG, O SR. ALGIMAR TEODORO DA SILVA ACOMPANHADO DO SEU FILHO, O SR.
JONATHAN TEODORO DA SILVA, OS QUAIS FICARAM INTERESSADOS EM UMA PROPAGANDA DO ESTABELECIMENTO QUE OFERTAVA UM
APARELHO TELEVISOR SMART TV SAMSUNG 70 POLEGADAS CRISTAL 4K AU7700 NO VALOR DE R$5.129,00.
O SR. ALGIMAR AINDA COMPROU UM APARELHO CELULAR MOTOROLA MOTO G10 PELO VALOR DE R$1.099,00, TOTALIZANDO A
COMPRA EM R$6.300,00.
O SR. ALGIMAR SOLICITOU DIVIDIR A COMPRA EM 10 VEZES NO SEU CARTA~O DE CREDITO OUROCARD PLATINUM VISA, CONTUDO,
A VENDEDORA JESSICA SULAMITA DISSE QUE SERIA MAIS VANTAJOSO FAZER UM CARTA~O DA LOJA, POIS PODERIAM DIVIDIR A
COMPRA EM 24 VEZES SEM JUROS.
O SR. ALGIMAR CONCORDOU,  AUTORIZANDO O PROCESSO, LIBERANDO UM CREDITO NO VALOR DE R$4.890,00.
COMO O VALOR DO CREDITO NA~O COBRIA A COMPRA, O SR. ALGIMAR ENTA~O, OFERECEU PAGAR O APARELHO CELULAR A VISTA E
FINANCIAR SOMENTE A TELEVISA~O.
A VENDEDORA DISSE QUE MESMO ASSIM, NA~O DARIA O VALOR DA TELEVISA~O, SENDO SOLICITADO UM APORTE R$599,00, O QUAL
FOI FEITO PELO SR. ALGIMAR ATRAVE´S DO BRANCO BRADESCO.
EM SEGUIDA, A LOJA FEZ O ESTORNO DO VALOR DE R$599,00 ALEGANDO QUE NA~O TERIA COMO EFETUAR O PARCELAMENTO EM 24
VEZES, POIS, TERIAM QUE FAZER OUTRO APORTE NO VALOR DE R$700,00.
A VENDEDORA FEZ UMA SIMULAC¸A~O COM O NOVO APORTE DE R$700,00, CONTUDO, MESMO ASSIM,  ALEGARAM QUE NA~O
CONSEGUIRAM PARCELAR O VALOR DA TELEVISA~O.
O SR. ALGIMAR ENTA~O, COMO NA~O FOI ATENDIDO PELA LOJA, SOLICITOU O CANCELAMENTO DO CARTA~O, O QUAL FOI NEGADO
PELO GERENTE, QUE DISSE QUE ELE MESMO DEVERIA SOLICITAR O CANCELAMENTO APO´S 15 DIAS.
O SR. ALGIMAR NA~O CONCORDOU E DISSE QUE QUERIA SEU CARTA~O CANCELADO, SENDO GERADO UM "UM TERMO DE CANCELAMENTO
DE CARTA~O POIS O CLIENTE DESISTIU DEVIDO O LIMITE NA~O ATENDE-LO".
O SR. ALGIMAR SOLICITOU O CONTRATO QUE ELE ASSINOU DA PROPOSTA DO CARTA~O, SENDO SETE FOLHAS ASSINADAS, TODAVIA,
O GERENTE SE NEGOU, RECORTOU DUAS ASSINATURAS  E ENTREGOU PARA O SR. ALGIMAR E MANDOU FOTOS DAS DEMAIS FOLHAS
VIA WHATSAPP.
DIANTE DISTO FAC¸O A DEVIDA RECLAMAC¸A~O POIS FUI TRATADO DE FORMA DESELEGANTE PELO GERENTE QUE QUANDO CHAMADO POR ESTE RECLAMANTE PARA EXPLICAR O PORQUE DO FATO DE NA~O TER CONSEGUIDO EFETUAR A COMPRA APO´S PERMANECER NA LOJA PELO PERI´ODO DE 3 HORAS, ESTE FOI DESELEGANTE E QUESTIONADO O PORQUE DAQUELE TRATAMENTO ESTE SE MOSTROU NERVOSO E QUIS QUE O RECLAMANTE  O AGREDISSE COM PALAVRAS O QUE NA~O FOI FEITO.aTE ESTA DATA TINHA UM ZELO POR ESTE ESTABELECIMENTO MAS PELA EMPRESA ADMITIR PESSOAS COMO ESTE GERENTE PARA TRATAR COM PESSOAS PERDE TODA CREDIBILIDADE.</t>
  </si>
  <si>
    <t>No dia 20/11 realizei a compra de uma TV LG, pedido n 299541160.
O prazo de entrega esta´ para o dia 27/11.
Hoje e´ dia 24 e sequer foi coletado pela transportadora ainda, estou aguardando faz 24h a resposta do atendimento via whatsapp, que pelo visto, na~o e´ nada funcional.</t>
  </si>
  <si>
    <t>No dia 09/11, realizei a compra de um airpod no Ponto Frio por interme´dio do MKT Place^ dentro do InterShop.
A u´ltima movimentac¸a~o do status do pedido em 12/11 e´ que esta´ aguardando na transportadora local para entrega.
Atrave´s de diversas conversas no canal WhatsApp da loja, foi me passado previsa~o de entrega ate´ dia 19/11 e que deveria aguardar. Apo´s as 18h deste dia, entrei em contato no whats que informou que na~o atendem mais clientes de MKt place^ e que deveria contatar via telefone.
Acontece que primeiras tentativas fiquei mais de 15min para ser atendido e apo´s o prazo liguei diariamente e atendentes da~o informac¸o~es desencontradas desde que o pedido ta´ em atraso onde transportadora sinalizou que ira´ demorar ate´ dois dias do previsto e tambe´m me passaram que meu pedido foi cancelado por insucesso na entrega (o que seria enviavel uma vez que ha´ ao menos sempre 3 pessoas em casa pra receber.
Tambe´m em tentativa de reclamar atrave´s do Instagram da Ponto, deram a informacao que a entrega ocorreria no 23/11 ao qual nao ocorreu!
Quero saber quais as provide^ncia, pois pedido e nf ja´ faturado no carta~o, inclui´ram taxa de entrega, quem ira´ pagar pelo valor no meu carta~o? Eu na~o pagarei nada enquanto na~o tiver o produto que indenizac¸a~o da taxa de entrega.
Tenho evide^ncia e provas onde e´ perdido meu tempo e desgaste para resolver um problema na~o ocasionado por mim.
Ingressarei na justic¸a para reparo por danos morais e requerer o produto sob pena de multa.</t>
  </si>
  <si>
    <t>Comprei 4 pneus nessa loja e quando chegaram dia 20/11, um deles estava totalmente errado, a transportadora levou todos de volta pois na~o pode deixar errado, entrei em contato no sa´bado e expliquei a situac¸a~o, a moc¸a que me atendeu disse que ia fazer o cancelamento e extorno assim que a mercadoria chegasse na loja, na~o sei porque ela colocou no cancelamento que foi roubo e extravio, na segunda liguei nas Casas Bahia e os pneus haviam chegado pore´m a ligac¸a~o estava pe´ssima e mal entendi quando o moc¸o falou sobre vale troca, eu aceitei e ele disse que no outro dia estaria liberado, na~o estava, tentei pelo WhatsApp e ningue´m me retornou, liguei novamente na terc¸a a tarde e quem me atendeu ja falou mal da atendente de sa´bado por ter colocado roubo e do atendente de segunda que na~o solicitou vale nenhum, ligac¸a~o pe´ssima tambe´m na~o consegui nem sequer ouvir sobre protocolo e ele desligou na minha cara, hoje , quarta liguei novamente a tarde, mais uma vez a ligac¸a~o pe´ssima e a atendente disse que ia cancelar o pedido e solicitar um reembolso no meu carta~o, fiquei esperando e ela desligou, liguei agora a noite e outra atendente me disse que na~o tinha como fazer o extorno no carta~o somente vale, mais uma vez ligac¸a~o pe´ssima e desligou o telefone, ningue´m resolve</t>
  </si>
  <si>
    <t>Fiz uma compra de uma cama box queen no dia 08/11 e paguei a vista. O prazo de entrega seria ate´ dia 23/11. No dia 22/11 recebi um e-mail informando que haveria um atraso na entrega mas na~o informava quando seria entregue. Liguei va´rias vezes tentando entender quando seria entregue, uma vez que preciso da cama para receber uma visita. Primeiro me disseram que a mercadoria avariou e levaria 49 dias depois da devoluc¸a~o para nova entrega. Depois me disseram que seria entregue dia 24/11 e haveria somente um dia de atraso. Outro atendente me disse que iria trocar e me ofertar um outro modelo. Fiquei na linha por 20 minutos ate´ ele desligar a ligac¸a~o. Entrei pelo Reclame aqui e a atendente me garantia a entrega de pelo menos o colcha~o mas o box iria atrasar. Agora entrei no Chat pelo Reclame Aqui e o atendente disse que nao iriam entregar e que eu cancelasse a compra.
Como pode isso??? Paguei a vista, fiquei quase 20 dias aguardando para, na ve´spera, me dizer que na~o vai entregar!!! E agora, coloco a visita para dormir no cha~o.
Na~o comprem na Casas Bahia!!! Eles na~o respeitam o consumidor. O atendente sequer tentou resolver e de cara mandou eu cancelar. E que o ressarcimento so´ ira´ acontecer em 10 dias uteis depois deles ficarem com meu dinheiro por 15 dias.
Como vou comprar outro se o dinheiro esta´ com a Casas Bahia?</t>
  </si>
  <si>
    <t>Comprei 2 ventiladores pelo site das casas Bahia para retirar no mesmo dia. Comprei dia 22/11/2021, depois da aprovac¸a~o do pagamento, fui informada pelo aplicativo que so´ poderei retirar os ventiladores a` partir do dia 03/12/2021.</t>
  </si>
  <si>
    <t>Recebo inconta´veis mensagens de SMS (diariamente) da Casas Bahia com propagandas que na~o me interessam de qualquer forma. Nunca entrei numa loja fi´sica desta marca, nunca acessei o site desta empresa (exceto agora que tentei de todas as formas alguma forma de contato humano para resoluc¸a~o do problema). Mesmo tendo tantas questo~es pessoais para resolver, precisei agora dedicar quase duas horas de minha tarde em ligac¸o~es com atendentes que em nada ajudaram. Todos me informaram nu´meros de telefone que, no fim das contas, solicitam nu´meros de pedidos/compras (que nunca fiz).
Apenas preciso que esta empresa retire meus contatos do seu banco de dados e me deixe viver em paz. Ressalto que, tempos atra´s, esta marca era indiferente pra mim, hoje e´ sino^nimo de desrespeito a`s pessoas por tamanho inco^modo e desde´m com a minha privacidade. Esta e´ a u´ltima forma paci´fica com a qual tentarei resolver o problema. Aguardo o quanto antes a soluc¸a~o.</t>
  </si>
  <si>
    <t>COMPREI UM CONJUNTO DE PANELAS NO SITE CASAS BAHIA, PORE´M AS PANELAS ESTAO TODAS AMASSADAS E O PRODUTO COMPLETAMENTE FRAGIL E DE MAL MATERIAL, ENTREI EM CONTATO COM A EMPRESA E ME DERAM 4 DIAS UTEIS PARA RECEBER UM EMAIL PARA CONFIRMAC¸A~O DE CANCELAMENTO DA COMPRA, NAO RECEBI EMAIL NENHUM NOVAMENTE ENTREI EM CONTATO E PEDIRAM PRA AGUARDAR MAIS 4 DIAS UTEIS, UMA PALHAC¸ADA COM O CONSUMIDOR. DEVE SER RESPEITADO O PRAZO QUE ME INFORMAM PARA A TRATATIVA. FALTA DE RESPEITO POIS LIGUEI DIVERSAS VEZES PEDINDO UM NUMERO DE OUVIDORIA, UNS DESLIGAM NA MINHA CARA E OUTROS FALAM QUE NAO TEM COMO REGISTRAR RECLAMAC¸A~O EM OUVIDORIA !! ABSURDO. QUERO MEU DINHEIRO</t>
  </si>
  <si>
    <t>Comprei um Bebedouro para minha loja no valor de R$ 519,00. Havia duas opc¸o~es de entrega: uma GRATUITA para entrega em ATE´ DUAS HORAS na loja fisica, e outra paga para entrega em 01 DIA UTIL. 
Escolhi a gratuita, pois seria tranquilo retira-lo na loja fisica.
Apos confirmacao do pagamento, recebi um email avisando que o produto chegaria em 13 DIAS (Dezembro)!!! E na~o 02 horas como estava no anuncio!!! 
Ligando para o telefone disponivel no site, o funcionario MUITO MAL EDUCADO me indicou ou cancelar a compra (e ter ate 10 dias para ressarcir o valor no cartao de credito) ou abrir uma reclamac¸a~o que o mesmo alegou que na~o adiantaria. 
Ou seja? Se correr o bicho pega, se ficar o bicho come. Ou espero os 13 dias ou espero os 10 para o ressarcimento! 
Quero meu produto no prazo indicado!!!! Solicito retorno JA! Pois necessito do produto para uma loja comercial! 
Falta de respeito com os clientes!!! Nunca mais caio nessa!</t>
  </si>
  <si>
    <t>Comprei um relo´gio feminino na semana das ofertas black-fraude das Casas Bahia, o pagamento foi aprovado, mandei e-mail para saber o motivo da demora no envio, mas ningue´m entrou em contato. 
Hoje, fui olhar e o pedido foi cancelado!!! O valor do relo´gio foi R$.2,00, contudo foi comprado na semana da black-fraude e o pro´prio site que fica mandando "ofertas imperdi´veis", a esto´ria do quer pagar quanto na~o funciona nem com os produtos anunciados!!!  
Tiago 
Obs. Estou sem celular, respondo so´ pelo e-mail!!!</t>
  </si>
  <si>
    <t>Comprei um celular, infelizmente tive que pedir o cancelamento da compra e para minha surpresa, todos os meios disponi´veis na~o funcionaram. Tentei va´rias vezes pelo WhatsApp Rob, telefone e nada. No aplicativo a func¸a~o na~o estava ativa.
Hoje liguei no SAC pedindo um chamado p uma situac¸a~o diferente so´ assim consegui falar c atendente, pq se eu colocasse a opc¸a~o para cancelamento, eles ja´ desligavam a linha. Pelo Whats, na~o chegava na parte do protocolo e desconectavam.
Agora o celular foi entregue, o cancelamento ainda esta em ana´lise. So´ sei que eu na~o sou obrigada a gastar meu tempo e dinheiro levando a mercadoria onde qr que seja, pois tentei a todo custo fazer o cancelamento ANTES DA ENTREGA e me foi negado. Pois agora voce^s tratem de dar um jeito de retirar a mercadoria. 
Uma palhac¸ada essa empresa, fazia muito tempo que na~o comprava nela e hoje lembrei por inu´meras vezes o motivo que tinha parado de usar qualquer servic¸o dessa empresa. Na~o vale a pena correr o risco!
E se novamente meu problema nao for solucionado, com estorno do valor e retirada da mercadoria, abrirei um chamado no consumidor gov br e se mesmo assim tiver problemas, passarei o caso para meu advogado que e´ meu marido. 
Aguardo soluc¸a~o!</t>
  </si>
  <si>
    <t>Realizei uma compra dia 14/11/21 de um aquecedor a ga´s (pedido: 298254907), com data de recebimento dia 19/11/21.  ja´ tentei entrar em contato mas abrem um protocolo para 10 dias. Na~o consigo falar com a transportadora Olist Store.
O pior de tudo que estou deixando de viajar em func¸a~o de aguardar o produto. Se na~o tem capacidade de entrega enta~o sejam honestos com seus consumidores, coloque um prazo maior, se soubesse desse atraso teria comprado em outra loja, mesmo pagando um pouco mais caro.
Por favor ne´ Ponto Frio.. que mancada!!</t>
  </si>
  <si>
    <t>Efetuei uma compra no site no dia 19/11, onde contava que o pedido estaria pronto para ser retirado na loja 2h apo´s a confirmac¸a~o do pagamento. O pagamento foi aprovado em seguida do ato da compra, pore´m ate hoje fia 25/11 na~o me foi liberado a retirada. Entro em contato w sempre da~o a mesma desculpa que o produto esta´ em "separac¸a~o"</t>
  </si>
  <si>
    <t>NO DIA 23/11/2021 REALIZEI UMA COMPRA NO SITE DA CASAS BAHIA, FOI DE UM JOGO DE PANELAS TRAMONTINA LINHA ALLEGRA, LA´ O JOGO ESTAVA NA PROMOC¸A~O, E POR TER A LOJA NA MINHA CIDADE, TINHA A OPC¸A~O RETIRE RA´PIDO A PARTIR DE 2HS*  , REALIZEI A COMPRA E SELECIONEI ESSA OPC¸A~O, SO´ QUE APO´S FINALIZADA A COMPRA APARECEU QUE SO´ PODE RETIRAR NA LOJA A PARTIR DO DIA 02/12/2021, ENTA~O O RETIRE RA´PIDO NA~O FUNCIONA.  ENTREI EM CONTATO COM A LOJA DA MINHA CIDADE COXIM-MS E O JOGO DE PANELAS NEM  SEQUER CONSTA NO ESTOQUE. DEVIAM ESPECIFICAR MELHOR ESSA QUESTA~O DO RETIRE RA´PIDO. SE EU SOUBESSE E TIVESSE ESPECIFICADO TERIA COLOCADO COM O FRETE QUE CHEGARIA NO CASO MAIS RA´PIDO. QUERO UMA POSIC¸A~O DA LOJA ONLINE E TENHO PRESSA COM MEU PRODUTO</t>
  </si>
  <si>
    <t>Fiz a compra de um iPhone 11 no site das Casas Bahia e estava previsto para ser entregue hoje, pore´m a transportadora adiou a entrega alegando que na~o havia ningue´m para receber a mercadoria sendo que moro em condomi´nio onde tem porteiro 24h. Tentei entrar em contato com a transportadora para saber e eles na~o atendem, liguei na Casas Bahia e o atendente falou que na~o podia fazer nada. Quero que resolvem logo meu problema!</t>
  </si>
  <si>
    <t>Meu cadastro possui um e-mail antigo, o qual na~o tenho mais acesso. Ao tentar altera´-lo´ pelo site, informando o nu´mero do meu celular (que e´ o mesmo do cadastro) recebia o token que, quando o digitava, dava como expirado. 
Entrei em contato via WhatsApp para resoluc¸a~o, primeiro com a atendente Lorena e em seguido com o atendente Rafael. 
A primeira me pediu para repetir o que ja´ tinha feito, e quando demorei 10 minutos para responde sua mensagem, encerrou o atendimento sem qualquer nu´mero/protocolo para retoma-lo´. 
Nesse meio tempo, esgotou-se o produto o qual ia adquirir em promoc¸a~o. O segundo, pediu desculpas apo´s eu explicar o ocorrido e disse que ia resolver e prosseguir com a alterac¸a~o do e-mail. Em seguida, surpresa: a soluc¸a~o dele era eu entrar em contato por telefone; ou seja, teria que ligar e esperar um novo atendimento. 
Ja´ realizei esse processo de alterar um e-mail antigo com a Netshoes/Zattini/Magalu com NENHUMA burocracia. 
Em resumo (nem tanto): a Casas Bahia na~o tem aprec¸o pelos clientes; esta´ anos-luz atra´s da concorre^ncia.</t>
  </si>
  <si>
    <t>Dia 20/11/2021 efetuei a compra de 2 produtos pelo site da loja Casas Bahia, selecionando a opc¸a~o de Retira Ra´pido, pela comodidade. O prazo limite para entrega seria de ate´ 5 dias u´teis, no caso ate´ sexta feira dia 25/11/2021.
Hoje, dia 24/11 entrei em contato pelo whatsapp da empresa para verificar sobre o rastreamento dos produtos, para saber se ja´ estariam a caminho da loja e se teria alguma previsa~o de quando estariam disponi´veis para serem retirados por mim, e a atendente informou que a previsa~o seguia como dia 25/11. 
Agora a pouco, por volta de 19:20 acessei o site e os 2 pedidos constam como cancelados. Liguei na central e a atendente informou que os pedidos foram cancelados pelo pro´prio sistema, e que ja´ estavam solicitando o estorno.
Estou extremamente decepcionado com esta situac¸a~o, pois se cancelaram o pedido por falta de estoque, na~o deveriam dar continuidade na aprovac¸a~o do pagamento.
A partir do momento que um cliente compra algo, a empresa deve simplesmente entregar o produto ao cliente; isso e´ uma falta de respeito absurda com o consumidor. Detalhe: era a primeira compra que eu havia feito, e ja´ tive essa pe´ssima experie^ncia. Sabe qual vai ser a fama da Casas Bahia onde resido? De empresa golpista, que promete um produto e na~o cumpre. Espero que resolvam este problema da melhor forma possi´vel, pois e´ o mi´nimo que podem fazer pra tentar reparar o dano destes cancelamentos, uma vez que sa~o itens que realmente necessito pra uso rotineiro..</t>
  </si>
  <si>
    <t>Comprei uma geladeira Eletrolux e a previsa~o de entrega era dia 29/11, onde eu vinha acompanhando o status pelo app do Ponto Frio, bem, hj (24/11)recebi um SMS as 6 hrs da manha~, informando que o produto teria sai´do para entrega. Fiquei ate´ a`s 13 hrs em casa, pois tinha consulta me´dica a tarde, em outro cidade. Mas avisei a zeladora que caso chegasse, ela poderia receber e ele deixariam a geladeira na minha porta. Mas se negaram a deixar, levando de volta. Liguei para o entregador, que informou que va~o ligar para reagendar. Minha reclamac¸a~o e´ sobre a entrega sem agendar e fora da data do informado no pedido e tambe´m por na~o terem deixado com a zeladora.</t>
  </si>
  <si>
    <t>Achei o foga~o que estou procurando pelo app zoom que me levou ao site e app do ponto frio.
O valor mais acessi´vel que achei ate´ o momento 1999,00 em 10 X. Mas toda vez que eu vou finalizar a compra eles alegam que meu CEP na~o esta´ disponi´vel. Coloquei va´rios inclusive de parentes. Mas ao verificar a loja parceira Megamamute, na~o tem o foga~o la´ e tambe´m alegam entregar a todo o Brasil. Propaganda enganosa. No app do ponto frio, no app zoom e na~o tem o produto no Megamamute tambe´m.
Quero pagar 1999 em 10x  no foga~o e que ele seja entregue nos ceps que tenho disponi´vel porque na~o e´ possi´vel que 3 ceps diferentes na~o e´ possi´vel.</t>
  </si>
  <si>
    <t>Comprei pelo APP do ponto frio com a loja parceira UAITEM e meu computado com a data de entrega pro dia 22/11 nao foi entregue,entrei em contato com as 2 empresas e ate hj nenhuma delas me deram uma posicao a respeito do pc game.</t>
  </si>
  <si>
    <t>Fiz uma compra on-line logo em seguida solicitei o cancelamento e mesmo contra minha vontade eles esta~o enviando o pedido um total desrespeito ao consumidor e desespero pela venda.</t>
  </si>
  <si>
    <t>No dia 19/11/2021 fiz a compra  de um smartphone no site da empresa CasasBahia. 
Depois do processo de aprovac¸a~o de pagamento do pedido N 299328341, o site CasasBahia da o prazo de entrega ate´ 25/11/2021.
A CasasBahia fez a terceirizac¸a~o a entrega pela Loggi.
 Segundo a Loggi por uma mensagem no WhatsApp o entregador veio com o pedido ate o enderec¸o e fez a entrega, mas nem chamou e na casa tinha gente para receber o pedido. 
E simplesmente o entregador da Loggi deu o pedido como entregue no dia 24/11/2021 as 20:56h. 
Colocou o nome "Flavio." Para o recebedor do pedido e ningue´m aqui na casa recebeu o pedido.
Ate´ o momento  estou tendo um prejui´zo de mais de mil reais e na~o  estou tendo o retorno desejado para solucionar o caso.
Espero que resolva entre as empresas CasasBahia  e Loggi a entrega do produto ou reembolso.
A Loggi na~o  envia os dados e nem a assinatura do recebedor do produto.
Entrega o pedido a qualquer um sem identificac¸a~o e o consumidor que vai ficar no prejui´zo?
Espero a soluc¸a~o do caso.</t>
  </si>
  <si>
    <t>Comprei uma ma´quina de lavar na loja do Cj Nacional Bsb, apesar de ter ido na loja a vendedora realizou uma venda on-line comigo. Pedido: 298194216. Ma´quina de lavar Midea.
A entrega estava no site indicando dia 25/11.
Pore´m, desde 23/11, no acompanhamento do site, o produto consta como entregue. So´ que eu na~o recebi o produto. Onde esta´ minha lavadora?
Ale´m disso, fica meu questionamento. Como vou receber o produto, em hora´rio comercial, sem um aviso pre´vio, se trabalho o dia todo?
Casas Bahia so´ quero lavar minha roupa!</t>
  </si>
  <si>
    <t>Bom dia! efetuei uma compra de um note book no dia 12/11 devido uma promoc¸a~o que estava havendo entre Me´liuz e Casas Bahia de 15% de cashback.
fiz tudo certinho pelo link, no entanto a na~o caiu o cashback, e a Me´liuz diz que a Casas Bahia na~o computou minha compra como se fosse pelo link da promoc¸a~o, e o pior, paguei R$3799,00. e uma semana apo´s o prec¸o caiu para R$ 3.324,05, o mesmo produto, ou seja, aparentemente inflaram o prec¸o para compensar o desconto artificialmente e o pior ainda na~o computaram como dentro da promoc¸a~o.
dizem que a promoc¸a~o na~o foi o fator motivacional final, no entanto, foi sim, tenho ate´ prints de conversas com amigos onde eu ate´ divulgo para eles aproveitarem a "promoc¸a~o"
OBS: ainda houve outros problemas no caminho, o note veio faltando uma pec¸a, trocaram e agora esta´ dando uns probleminhas de vez enquanto, filmei os problemas.
ao tentar entrar em contato com as empresas "Me´liuz e Casas Bahia" uma fica jogando para a outra, o atendimento principalmente da Casas Bahia e´ demorado demais e ineficiente.</t>
  </si>
  <si>
    <t>Entrei no app da loja. Ponto frio la´ estava um carta~o pre´ aprovado pra mim.   
Preenchi a proposta. E me negaram se ta´ pre aprovado com limite por que na~o cumprir com o que  anu´ncia no app da loja quero que a loja cumprindo que me oferece no app.</t>
  </si>
  <si>
    <t>Boa tarde. Hoje tem 1 semana e 2 dias que meu IPhone XR chegou. Mas hoje aconteceu uma coisa bem estranha, eu estava no meu trabalho, e de repente ele comec¸ou a vibrar, tremer, sozinho sem parar, sem ter nenhuma notificac¸a~o ou ligac¸a~o,  e tambe´m estava fazendo um baralho como se fosse um gerador, e o som estava saindo pela entrada do carregador. Fiquei desesperada e fui desligar o celular. Quando cliquei no bota~o de volume, ele parou. Mas isso e´ muito estranho, nunca aconteceu com nenhum celular meu antes. Queria saber oque pode ser, por que acho que na~o e´ normal.</t>
  </si>
  <si>
    <t>Fiz uma compra no app extra no dia 25/11/21 e logo debitaram no meu carta~o , enta~o deu tudo certo,  no dia seguinte a loja cancela minha comprar sem motivo e sem aviso  logo apo´s o valor do produto que havia comprado aumentar de valor.
Triste Experie^ncia de compra que tive com a loja, na~o voltarei a comprar mais nessa loja.</t>
  </si>
  <si>
    <t>Eu estava pesquisando um modelo de televisa~o a meses e, a vendedora me 3nviou um link dizendo ser a televisa~o q eu avia escolhido era o modelo 43un7300psc 2020, mas no link era a tv 43un731c e quando chegou na minha casa chegou uma caixa de uma TV smart simples e colado ao lado da tela uma etiqueta informando q era o modelo 43un731c0sc, a vendedora entrou em contato cm o te´cnico q disse q e a mesma televisa~o mas na~o e´ se na~o tinha oque eu queria na loja a obrigac¸a~o e´ me informa e na~o me vender algo parecido pois em outras lojas ainda tem estoque da que eu quero, fiz a compra dia 10  so´ chegou dia 18 e me deram 4 dias u´teis pra resolver e hoje recebi um email dizendo q na~o poderia trocar pois so´ trocam por motivos de defeito, e seria mais 6 dias apo´s a devoluc¸a~o pra devolver meu dinheiro. ou seja mais praticamente um me^s inteiro de transtorno, e eu sem televisa~o em casa! Vou entrar no Procon e no co´digo do consumidor pois isso e fraude</t>
  </si>
  <si>
    <t>Estou deste a noite de 23/11 tentando comprar Iphones e notbooks no site da ponto frio, pore´m quando chega o momeno de finalizar a compra na~o aparece o link de pontuar tudo azul.
Ja´ falei com atendentes, ja´ liguei, mas ningue´m resolve meu problema.
tenho medo de fazer as compras e na~o ter uma garantia de que serei pontuada.
No ano passado comprei um colcha~o nesta mesma promoc¸a~o e por na~o ter aparecido o link para pontuar, na~o fui pontuada.
todo black friday compro na ponto frio justamente por causa das pontuac¸o~es tudo azul. Parece que esse ano eles esta~o dispostos a perder varias vendas.
numero do pedido 300379632</t>
  </si>
  <si>
    <t>Comprei uma TV pelo site online das Casas Bahia no dia 22/11 e o pagamento (a` vista) foi confirmado no mesmo dia. 
Contudo, mesmo comprando a TV antes da Black Friday, e pagando mais caro, justamente para na~o demorar a entrega, conseguiram este fato. 
Estou ha´ dois pedindo folga no servic¸o, pois dizem que va~o entregar e na~o entregam. Abri uma reclamac¸a~o, pois no site da transportadora (VVlog) na~o tem nenhuma informac¸a~o desde a`s 03h do dia 24/11 (que seria a data de entrega) e aparece que o retorno ocorrera´ em ate´ 10 dias (????). 
Se na~o resolverem a situac¸a~o, dando ao menos uma informac¸a~o, irei cancelar o pedido e comprar na concorrente - que esta´ mais barata (abdicando da entrega ra´pida prometida). 
Fico no aguardo. 
At, 
Vini´cius Santos.</t>
  </si>
  <si>
    <t>comprei uma prancha pelo app casas bahia, quando chegou estava danificada veio toda arranhada devolvi o produto e pedir o cancelamento ,comprei pelo meio de pagamento pelo carne digital consta que foi cancelado mas me continua cobrando e meu nome ja foi pro spc</t>
  </si>
  <si>
    <t>A Casa Bahia e seus parceiros, vendem o produto, mas na~o entrega. Comprei uma maquina de solda, no dia 20/11/2021, e o pagamento foi aprovado no mesmo dia, no meu carta~o de credito. No dia 25/11/2021, sem qualquer justificativa cancelaram o minha compra. Agora a minha fatura ja´ fechou, vou ter que pagar um produto que na~o recebi, produto esse que estou precisando com urge^ncia.
Gostaria que a Casas Bahia, justificasse esse cancelamento, pois esta parecendo que vendem produto que na~o existe, coloca um prec¸o baixo, fazem  propaganda em cima e depois deixa os clientes na ma~o.</t>
  </si>
  <si>
    <t>Boa tarde, me chamo Paulo Andre´, comprei um xiaomi 4gb de ram 64gb memo´ria, global ,parcelei em 18x , na Black Friday,pelo site do extra, que estava na promoc¸a~o por 1.199 digitei meus dados corretamente, tenho um o´timo limite no carta~o, mas fui informado pela atendente do televendas, que meu banco na~o autorizou, fui ver no meu aplicativo do carta~o e na~o constava nada , simplesmente o extra cancelaram a compra, agora pergunto e o artigo 51 do co´digo do consumidor, se acabou , ou o prec¸o aumentou , pq tava la´ , eu eu finalizei todo o processo de compra, e depois ve^em com lorota, pedido nu´mero 300154870 , que meu celular, pelo valor que eu vi, e comprei</t>
  </si>
  <si>
    <t>Comprei uma ma´quina de lavar no dia 20/11 de 14kg  marca Consul  no site das Casas Bahia, paguei pelo Pic Pay 
Pore´m ate´ o momento meu pedido na~o foi recebido, sendo que o prazo de entrega e´ no prazo de 7 dias. Quero saber o que aconteceu.Pois ngm consegue me ajudar  e quando ligo na~o atende</t>
  </si>
  <si>
    <t>Dia 6/11 comprei um Ipad 8 32gb (pedido de nu´mero 296485963) pelo site das Casas Bahia, sendo que seria vendido pela KAPEL. O pedido demorou dias para ser postado, sendo que a postagem ocorreu apenas no dia 18/11. No dia 19/11 recebi uma mensagem de que o pedido tinha sido entregue, porem nunca foi  recebido por mim. Fui ate´ a central de distribuic¸a~o de correios de Braganc¸a Paulista (cidade em que moro), e pelo co´digo de rastreio informaram que o pedido foi entregue em outro enderec¸o e que outra pessoa assinou e recebeu. Abri um chamado na mesma hora de que na~o recebi o pedido. Pediram 4 dias u´teis para resoluc¸a~o. Estou no 5o dia u´til e na~o houve nenhuma resposta. Todos os chamados de atendimento online que abri foram extremamente ineficazes e nenhum me deu alguma resposta concreta ou u´til para o caso. Sigo no aguardo, infeliz com o servic¸o.</t>
  </si>
  <si>
    <t>Comprei um ar de janela, no dia 1/11 cujo o prazo de entrega era estourando dia 9/11, apo´s passar 1 dia da data de entrega entrei em contato com a loja via ligac¸a~o e WhatsApp para solicitar o cancelamento, e fiz isso apo´s ver que a minha encomenDa estava parada na transportadora JAdlog desde o dia 5/11.
A transportado e´ horri´vel e mal recomendada por aqui tbm. Enfim hoje ja´ estamos no dia 23/11 o o extra insiste em na~o me devolver o meu dinheiro mesmo com o print de que a transportadora na~o vai me entregar.
Quero meu estorno o quanto antes.
Hoje fiz mais uma solicitac¸a~o de cancelamento o atendente A´lissons as 14:07 me atendeu e as 14:23 disse que havia aberto o meu protocolo de cancelamento, mas ao verificar o protocolo fui informada de que o mesmo na~o existe. 
Quando tento cancelar pelo aplicativo o extra na~o permite.</t>
  </si>
  <si>
    <t>Fiz uma compra de uma smart tv pelo site do shopping esfera/ casas bahia, e por esse meio na~o tinha a disponibilidade de retirada do produto, pore´m, ao verificar direto pelo site da casas bahia, vi que ha´ a disponibilidade de retirada do produto. 
O que seria melhor, ja que o prazo de entrega ficou de 16 dias, e o de retirada e´ de ate´ 2h.
Entrei em contato com o chat da casas bahia para solicitar a retirada do produto ja pago, e me foi negado, informando que eu escolhi pela modalidade "entrega" e na~o "retirada". Pore´m como dito acima, pelo site da parceira ShoppingEsfera/CasasBahia, na~o havia como escolher retirada!
Em resumo, um erro de comunicac¸a~o entre os parceiros, e quem se ferra e´ o cliente!</t>
  </si>
  <si>
    <t>Boa tarde!
Efetuei a compra de 2 guarda roupas pelo pedido nas casas bahia!
Ocorre que recebi um email dizendo que meu pedido foi cancelado pois a emprrsa na~o conseguiu fazer a entrega por na~o ter alguem pra receber! Isso e´ um grande absurdo, uma enorme mentira!
Nem mesmo a nota fiscal dos produtos foi emitida!
Exijo o cumprimento da oferta e entrega dos produtos comprados e pagos.</t>
  </si>
  <si>
    <t>Venho atrave´s do reclame aqui como u´ltimo recurso pois ningue´m sabe me informar sobre meu vale presente. No dia 17/11/21 comprei um Xbox se´ries S, na~o me atentei a data de entrega que so´ seria feita dia 4 de janeiro 2022, sendo assim optei por cancelar a compra no dia 18/11/2021 um dia apo´s , optei pelo vale estorno por dizerem ser mais ra´pido com prazo no ma´ximo 3 dias u´teis. Hoje dia 24/11/2021 ate´ o momento nada de vale liguei na central uma atendente despreparada na~o soube me informar o que aconteceu..mas o que ela disse me preocupou ainda mais disse ela " que vou ter que aguardar ate´ dia 01 de janeiro de 2022 para o vale cair na minha conta" COMO ASSIM NAO E´ A OPCAO MAIS RAPIDA PELO AMOR UM DESCASO COM CLIENTE ! ESPERO UMA RESPOSTA E Satisfato´ria SENAO VOU ATRAS DOS MEUS DIREITOS COMO CONSUMIDOR . NUMERO DO PEDIDO E´ 298806019.</t>
  </si>
  <si>
    <t>Ja´ liguei va´rias vezes pro SAC e na~o consigo recuperar minha senha. Na~o tenho acesso aos aplicativo porque perdi a senha e na~o tenho acesso ao e-mail e nu´mero de celular antigo, pois meu cadastro e´ antigo. Quando eu ligo as atendentes na~o sabem resolver, na~o conseguem me transferir para o setor que resolva. Enfim, estou perdendo as promoc¸o~es da Black Friday pois queria emitir meu carta~o da empresa. E´ uma falta de respeito muito grande o SAC na~o adiantar pra absolutamente nada.</t>
  </si>
  <si>
    <t>Fiz uma compra no site das casas Bahia no dia 01/11/21. Recebi o e-mail de confirmac¸a~o da venda, pagamento autorizado e prazo de entrega para 16/11/21. Na~o recebi nada ate´ agora e toda tentativa de contato com a central de atendimento e´ para gerar protocolo e a resposta e´ aguardar. Na~o me passam prazo de entrega, na~o me explicam o motivo do atraso, na~o me esclarecem nada. So´ pedem para aguardar.
E´ um descaso com o consumidor. O pagamento foi realizado, mas onde esta´ o produto Casas Bahia? Comprei o produto porque preciso utilizar.
Nu´mero do pedido: 295482067 
Protocolo: 211122-043020
Continuo no aguardo.</t>
  </si>
  <si>
    <t>Fiz uma compra no site Extra.com.br de uma cadeira gamer que vou dar de presente. Somente depois eu fui descobrir que na~o seria de fato o Extra e sim uma loja parceira que se chama "Mania Virtual" que fez a venda e fara´ a entrega. Faz mais de uma semana que quando consulto o co´digo de rastreio aparece apenas como "entregue a transportadora", so´ que o pedido ja´ esta´ atrasado e eu na~o consigo contato com a loja ou com os canais de atendimento do Extra que sejam suficientes, somente respostas ba´sicas como "vamos reforc¸ar a sua reclamac¸a~o".
Como foi atrave´s do site do Extra que fiz a compra, gostaria que a empresa tomasse providencia e me entregue o meu produto. Na~o quero reembolso, quero que entreguem o produto conforme o combinado.
Ja´ aproveito para acrescentar que esses parceiros da Via Varejo na~o proporcionam a mesma garantia e seguranc¸a na compra de produtos de quando fazemos a compra com a venda e entrega sendo feita diretamente com as empresas da Via Varejo. Ja´ tive va´rios problemas com os parceiros de voce^s! Simplesmente esta~o prestando um servic¸o muito aque´m do esperado.</t>
  </si>
  <si>
    <t>Comprei o iPhone no fim de outubro, apresentou problemas na bateria antes dos 7 dias da compra e estou ate´ agora tentando resolver. Toda hora mudam a data da coleta. Preciso do telefone a trabalho!!! Estou quase entrando com um processo.</t>
  </si>
  <si>
    <t>No dia 23/11 recebi um anuncio de uma Escova Secadora Britania Soft BES13VD Verde Bivolt 1300W Bivolt no valor de 134,90 com o cupom ("black") de desconto de 30%. O valor final da mesma deveria ser de 94,93. Entretanto, quando aplicado o cupom o valor da escova ficava por 117,36 (sendo um pouco mais 14% de desconto).
Entrei em contato via telefone 2x e em ambas ligac¸o~es desligaram o telefone na minha cara! Tentei contato, enta~o, via chat do reclame aqui. O funciona´rio quem me atendeu de fato concordou que estava havendo o erro e estava em contato com a equipe responsa´vel por isto, esperei um tempo consideravelmente longo, mas o funcionario disse que estava sendo resolvido, iriam corrigir o cupom e me entregariam o correto, completou dizendo que iriam entrar em contato comigo em ate´ 24h.
Entraram em contato no mesmo dia e me informaram que seria gerado um cupom que eu iria usar em conjunto com o disponi´vel no site e totalizariam 30%. Me pediram tambe´m que gerasse um pedido da Escova Secadora via boleto para que pudessem concluir o cupom que me entregariam. Assim que estivesse disponivel, entrariam em contato comigo em ate´ 24h, mas falaram que no dia 23/11 mesmo estaria disponi´vel!
Aguardei o dia seguinte, ja´ que no dia 23/11 na~o foi liberado e me pediram para esperar ate´ o final do dia (24/11). No final do dia entrei em contato novamente, uma funcionaria me informou que o prazo e´ de 48h e logo desconectou o chat. Hoje (25/11) entrei em contato novamente e me informaram que ainda na~o esta´ disponi´vel e fizeram mais um contato com a equipe e que a reposta deve ser entregue em 24h. MAIS 24H! Sem falar que a funcionaria que me atendeu nem deixou que eu tirasse minhas duvidas, logo desligou o chat. entrei em contato mais uma vez e o funcionario que atendeu disse que tem que esperar mais 24h!
A u´nica questa~o e´ a falta de respeito com o cliente, na~o cumprem com o prazo dado, propoe um cupom de desconto com falha e ainda deixam o cliente sem resposta! 
O que podem fazer para resolver isso?</t>
  </si>
  <si>
    <t>Estou registrando aqui a minha segunda reclamac¸a~o no Reclame Aqui! Ale´m de inu´meros protocolos de ligac¸o~es, chat do reclame aqui e WhatsApp das Casas Bahia.. Fiz um pedido dia 13/11, totalizando R$ 8.520,70, em dois carto~es. R$ 7.080,00 em um e R$ 1.440,70 em outro. No mesmo dia foram aprovadas pelos 2 carto~es e fui notificada pelos 2. Pore´m, nunca atualizava no site.. Nenhum atendente soube resolver meu problema, so´ registravam reclamac¸a~o e NADA! Liguei para a empresa do carta~o onde passei R$1.440,70 e eles informaram que dia 20/11 as Casas Bahia fizeram o estorno do valor, sem ao menos uma explicac¸a~o. (Antes ja´ constava na fatura e ja´ havia sido descontado do limite do carta~o, segue em anexo). Pore´m, na~o fizeram estorno algum do valor do outro carta~o de R$7080,00. Depois de muita insiste^ncia e reclamac¸a~o, hoje, dia 24/11, tive uma resposta, disseram que o pagamento na~o foi autorizado! SENDO QUE MEU VALOR DE R$7080,00 NA~O FOI ESTORNADO E O DE R$1440,70 A PRO´PRIA CASAS BAHIA ESTORNOU SEM MOTIVO! Na~o foi um problema do carta~o, tanto que ja´ estava constando na fatura dos 2!!!!! Ai quando tento fazer um novo pagamento, so´ tenho a opc¸a~o de fazer o pagamento dos R$8.520,70 inteiro! Sendo que na~o estornaram os R$7080,00, na~o consigo pagar a diferenc¸a somente!!!! Na~o quero que cancelem meu pedido, por erro DE VOCE^S MESMO! Fiz o cashback da Me´luiz nas Casas Bahia de 15%, cancelando meu pedido, irei perder.  Parece que e´ uma total enganac¸a~o, que so´ fizeram com que meu pedido desse problema para na~o me darem meu cashback. Caso na~o resolvam o meu problema ou cancelem o meu pedido contra a` minha vontade, irei correr atra´s dos meus direitos! Estou extremamente irritada e decepcionada com as Casas Bahia! NINGUE´M RESOLVE NADA! NEM MESMO NO CHAT AQUI DO RECLAME AQUI! 
Nu´mero do pedido 298064950
RESOLVAM O MEU PROBLEMA! JA´ ESTOU AGUARDANDO HA´ 11 DIAS PARA A RESOLUC¸A~O, JUNTAMENTE COM TODOS OS PROTOCOLOS SALVOS, INCLUSIVE DO BANCO, ONDE ME INFORMARAM QUE VOCE^S ESTORNARAM SEM MOTIVO!!!!!</t>
  </si>
  <si>
    <t>Fiz uma compra pelo site de um notebook 2 em 1 onde o pagamento foi aprovado pelo carta~o. Depois de uma longa espera por parte da loja vi que o meu pedido foi cancelado por eles mesmo. Na~o se trata do cancelamento em si, se trata da falta de responsabilidade e relac¸a~o afetiva com o cliente, pois a gente confia que ao realizar a compra tenhamos no mi´nimo a dece^ncia de saber o porque a loja fez o cancelamento. Deixo aqui registrado a minha imensa insatisfac¸a~o e pouco caso para com o cliente.</t>
  </si>
  <si>
    <t>Ola´. Estou tentando ha´ 5 dias mudar o enderec¸o de entrega do meu pedido e ningue´m consegue me ajudar.
Na~o tenho mais acesso ao enderec¸o do pedido e queria mudar para um lugar pro´ximo.
Todas as outras empresas que pedi fizeram isso pra mim. Ja´ as casas bahia na~o.
Va~o resolver meu problema?
Na~o quero meu dinheiro de volta ou vale compras. Eu quero o meu pedido no enderec¸o novo. So´ isso.</t>
  </si>
  <si>
    <t>Comprei uma cadeira de escrito´rio ergono^mica tela com brac¸o RCP azul claro, estava anunciado por R$ 68,00 mais R$ 24,00 de frete para meu enderec¸o, mais a compra na~o fecha, comprei com pix ai devolveram o pix, isso foi dia 22/11 e 23/11, ate´ um vendedor entrou em contato comigo pelo whatzap e tambe´m na~o conseguiu fechar a venda. 
E Hoje dia 24/11 a cadeira saiu da promoc¸a~o ela custa hoje R$ 679,00 e se comprar a compra fecha normalmente.
Propaganda enganosa, quero a cadeira, pelo prec¸o da promoc¸a~o como estava no site, e app, tenho todos os prints, e e-mail do ponto frio.
Cadeira co´digo do item:  1521080618</t>
  </si>
  <si>
    <t>Comprei uma geladeira no dia 8 de novembro de 2021 com entrega prevista para o dia 18 de fevereiro de 2021. No entanto no dia 17 de novembro veio outra com modelo totalmente diferente eu entrei em contato e nada resolvido. Hoje no dia 24 de novembro de 2021;fui atendida pela atendente Leti´cia as 13 30 com o n do protocolo n 211117008067 e novamente sem previsa~o de entrega. Friso que estou passando por constrangimento e perda material visto que meus alimentos esta~o estragando.</t>
  </si>
  <si>
    <t>Boa noite 
Preciso recuperar minha senha mas perdi meu email cadastrado e na~o estou conseguindo
Gostaria de fazer compra.
Fico no aguardo, att</t>
  </si>
  <si>
    <t>Realizei a compra de 4 pacotes de fraldas no site dia 13/11. A entrega dos mesmos e´ ia 24/11/21, e a transportadora realizou a entrega de apenas 1 pacote na data de hoje. Ja´ abri chamado para resoluc¸a~o, pore´m o atendente informou que voce^s da~o o prazo de ate´ 7 dias u´teis para resolver. O que e´ um absurdo ja´ que estou esperando o produto ha 11 dias!</t>
  </si>
  <si>
    <t>Comprei uma inversora de solda Boxer flama 161bv  no site 20/11, esperei a Black Friday para encontra o melhor prec¸o e ja´ estava na espectativa da chegada do produto que no site dizia que chegaria ate´ o dia 30/11 mais sem nenhuma explicac¸a~o cancelaram meu pedido 299696652. Falei no atendente pelo whatsapp e ele disse que teve um problema no estoque. Acho engrac¸ado que esperam 5 dias  para verificar isso. So´ que agora na~o consigo comprar o mesmo produto com este valor,me disseram que iriam estonar o valor ate´ o dia 06/12, so´ que eu queria o produto . Pois eles colocaram um prec¸o de Black Friday no site e depois dizem que na~o tem no estoque.</t>
  </si>
  <si>
    <t>Minha esposa e eu estamos ha´ alguns meses acompanhando o prec¸o de um tablet que queri´amos comprar esperando uma boa promoc¸a~o. No dia 23/11 o site do extra apresentou o melhor prec¸o dos u´ltimos meses para esse tablet e minha esposa fez a compra na manha~ do dia 24/11 por 1899. A compra (pedido 300267185) foi feita as 7h da manha~ e aprovada pelo carta~o de cre´dito as 8h. So´ que para nossa surpresa hoje vimos que o pedido foi cancelado. Ao ligar para o Extra para verificar o motivo (protocolo 211125024825) me foi informado que foi cancelado "pela ana´lise do site". Sem nenhum detalhe adicional e quando argumentei sobre o impacto emocional a atendente me disse que sou "uma pessoa mimada" por querer que uma compra que fiz apo´s meses de espera fosse entregue.</t>
  </si>
  <si>
    <t>Fiz a compra do celular S21. No site das Casas Bahia, esta´ informado que o pedido foi entregue, no entanto, isso na~o ocorreu. Ou seja, pedido na~o entregue
Na~o consigo resposta de quem assinou que recebeu o pedido nem saber se as casa bahia ira~o me enviar outra celular ou devolver meu dinheor.</t>
  </si>
  <si>
    <t>To^ tentando comprar mas nada que eu escolhi estar indo pra o carrinho sendo assim na~o tenho como finalizar nada porque sempre aparece carrinho vazio eu ja´ desinstalei o APP e instalei ja tentei compra pelo web e o msm problema assim fica difi´cil</t>
  </si>
  <si>
    <t>No dia 15/11 adquiri um conjunto de mesa com duas cadeiras de varanda. Paguei por pix o valor de R$518,00 incluindo frete. Informaram que do 17/11 havia sido entregue pore´m na~o foi. Ja´ abri reclamac¸a~o mas ate´ agora NADA. Decepcionada com as Casas Bahia.</t>
  </si>
  <si>
    <t>Recebi Hoje o produto e o produto veio com defeitos ele nao carrega desligado colocar para carregar desligado ele Liga sozinho a bateria nao Segura carga exemplo selular ESTA com 30% em 1 Segundo ele ja descarregar ele com 7 porcento em 2 Segundo s chegou a 1 porcento e descarregou gostaria que vcs fezessem a troca do produto mais rapido possivel</t>
  </si>
  <si>
    <t>Eu estava prosseguindo a compra de um fone, quando chegou na parte da garantia estendida, o produto passou de R$ 299.00 para R$ 449,00.</t>
  </si>
  <si>
    <t>Acabei de receber a oferta quando vou comprar mais caro so´ pra atrair clientes um absurdo quero comprar no valor me oferecido a cadeira ergometrica.</t>
  </si>
  <si>
    <t>Vi no face o anu´ncio da pa´gina uma cadeira ergono^mica 68,90 para comprar tinha que instalar o app , instalei e quando fui verificar para comprar quase 700 reais , um absurdo a falta de honestidade no anu´ncio . Quero comprar pelo prec¸o que esta´ anunciando .conforme print .</t>
  </si>
  <si>
    <t>Comprei uma tv 75 polegadas saiu o valor do meu carta~o e eles simplesmente cancelaram minha compra !! 
Eu quero a tv que eu comprei</t>
  </si>
  <si>
    <t>Fiz uma compra pelo app, o pedido foi cancelado sem meu consentimento queriam forc¸ar o extorno em vale como na~o aceitei falaram que iriam devolver o valar na minha conta corrente so´ que na~o devolveram e sempre ficam mandando esperar mais e mais sem dar a devida soluc¸a~o ao problema pois se eles cancelaram que devolvam o valor de forma ra´pida.</t>
  </si>
  <si>
    <t>fiz um pedido no site da loja na sexta feira, e logo em seguida pedi o cancelamento do mesmo, pois queria alterar a forma de pagamento!
Na~o consigo nenhum retorno ate´ o momento! 
No ato da solicitac¸a~o do cancelamento,.foi me passado o prazo de 48h u´teis.  passado esse prazo tentei contato pelo chat e me passaram que o prazo correto eram de 4 dias u´teis ! 
Pois bem, esse prazo tbm ja´ se encerrou e ainda aguardo retorno !!
Solicito o cancelamento do pedido, nem como o imediato estorno dos valores pagos!</t>
  </si>
  <si>
    <t>Boa tarde. 
Efetuei a compra de um produto(pedido 297479947) no dia  11/11/21, atrave´s do marketplace das Casas Bahia, cujo o produto  e´ vendido pela loja Vills Parfum. A data de entrega do produto segundo informac¸o~es do aplicativo das Casas Bahia seria dia 17/11/21, pore´m o produto na~o foi entregue, enta~o realizei contato atrave´s do  whatsapp no dia 18/11/21(protocolo 211118-000277) e fui informado que o retorno ocorreria em ate´ 4 dias u´teis o que na~o aconteceu. 
Tambe´m realizei contato dia 23/11 com a Vills Parfum deixei meu contato e na~o recebi retorno.</t>
  </si>
  <si>
    <t>Vi uma propaganda da Ponto no site facebook e me interessei pelo item, cliquei para comprar e fui redirecionado para baixar o app e assim fiz, porem o prec¸o mudo para 10 vezes acima do valor. 
Por lei o prec¸o anunciado deve ser praticado. 
Exijo meus direitos. 
Dei print na tela como segue o anex, portanto exigo meus direitos</t>
  </si>
  <si>
    <t>Fui entrar no site do TudoAzule vi que estavam dando 15 pontos por real gasto no Ponto Frio!
Esses 15 por 1 seria para clientes Clube pagando com o Itaucard Azul. Sou os dois, clube e tenho o carta~o!
Na finalizac¸a~o da compra, que deu o total de R$ 1.749,00 informou que ganharia 17.490 pontos, sendo que o total seria 26.235 pontos na regra de 15 por 1. 
Fazendo contato com o atendimento do Ponto, ningue´m sabe esclarecer a du´vida; Como faz?</t>
  </si>
  <si>
    <t>Realizei uma busca mo Google referente a um fone de ouvido. Apareceu o site das casas Bahia anunciando um valor, ao clicar no site o valor esta´ bem maior.
Entrei em contato com o WhatsApp da loja e informaram que na~o podem fazer nada.
Entendo que isso e´ propaganda enganosa, pois anunciam um valor para atrair o cliente e ao abrir o site o valor e´ maior.
Estou enviando os prints que comprovam as diferenc¸as de valores.</t>
  </si>
  <si>
    <t>Comprei um ar condicionado na loja Salvador Shopping no dia 20/11. Ele veio com defeito (sem ga´s) no momento da instalac¸a~o. Acionei a loja para toca. Mas querem enviar um te´cnico para avaliac¸a~o em ate´ 4 dias? Inaceita´vel. Na~o aceito. Direitos do consumidor. Aguardo contato urgente de algum responsa´vel. Entendo que as Casas Bahia e´ uma organizac¸a~o se´ria, correto? Se fosse para consertar algo, consertaria o antigo que tenho. Comprei um NOVO.</t>
  </si>
  <si>
    <t>Comprei o produto Apple Watch em 15/11/2021 e solicitei o cancelamento em 17/11/2021 atrave´s do protocolo de cancelamento 211117-003506. O produto foi entregue, pore´m, gostaria de realizar a devoluc¸a~o. Solicitei o cancelamento antes dos 7 dias, pore´m, ate´ hoje na~o houve um posicionamento da loja sobre como posso enviar de volta o produto e receber o estorno de valores.</t>
  </si>
  <si>
    <t>o tal carne esta disponibilizado na barra de tarefas do site para mim, porem na~o consigo dar andamento mesmo seguindo as regras para usa-lo. gostaria de usar este beneficio</t>
  </si>
  <si>
    <t>Dia 21/11 fiz a compra de uma escova secadora pelo app da loja a qual forma de pagamento foi via pix no mesmo momento da compra ate´ a presente data os status na~o mudou apesar das inu´meras tentativas de resolver o problema a empresa na~o altera o status tao pouco me devolve o valor.
Sempre o mesmo abri um pedido de aprovac¸a~o do pagamento com urge^ncia 24hs seu problema sera´ resolvido e nisso ja´ va~o 4 dias.</t>
  </si>
  <si>
    <t>Esta´ dando erro na hora de emitir a segunda via da nota fiscal, preciso para cadastrar no site da LG e solicitar a garantia estendida prevista na promoc¸a~o.
Nu´mero do pedido 297546904
Data da compra 11/11/2021
Erro: O Modelo informado na chave de acesso e´ inva´lido (diferente de 55).</t>
  </si>
  <si>
    <t>Ola´, Comprei um celular pelo site da Ponto frio, e na~o recebi a nota fiscal. Tentei ligar, e na~o consegui falar com um atendente para resolver. Atrave´s do site tambe´m na~o foi possi´vel resolver, pois nem a segunda via da nota consegui retirar.
Meu e-mail e´ r.roger77@gmail.com 
E meu CPF 75783130000
Espero rever a nota fiscal, pois preciso muito dela.</t>
  </si>
  <si>
    <t>Comprei um produto de n 298779241, a previsa~o de entrega era do dia 23/11, a compra foi realizada dia 17/11. Ale´m de na~o entregarem na data, deram como entregue no dia 25/11 a`s 00:03h. Na~o recebi nenhum produto e na~o consigo falar com um atendente para solicitar o cancelamento da compra. Um absurdo com o consumidor.</t>
  </si>
  <si>
    <t>Dia 12/11 realizei a compra pelo ponto frio do meu pedido que ate´ hoje por volta de 13 hrs ta tarde estava "aguardando pagamento" no aplicativo sendo que o pagamento ja´ estava aprovado desdo dia 12/11 no meu carta~o. Durante esse periodo do dia 12/11 a 24/11 entrei em contato diversas vezes com a ponto frio questionando o porque do meu pedido ainda esta aguardando pagamento mesmo o pedido ja aprovado nos meus carto~es e ate ja´ aparecendo na fatura, nunca obitive uma resposta so´ podia pra aguardar mais 24 horas, falavam que o caso havia sido passado pro supervisor, falavam que iam me ligar e na~o obitve nenhuma informac¸a~o nem resoluc¸a~o, hoje recebi um email dizendo que o pagamento na~o havia sido aprovado e que eu precisava inserir novamente os dados de pagamento em ate´ 48 horas ou o pedido seria cancelado automaticamente, entrei em contato com os carto~es ( usei 2 no pagamento) e ambos disseram que o pedido constava como aprovado e que ainda na~o haviam recebido nenhuma solicitac¸a~o de estorno, como o limite do carta~o na~o voltou na~o consigo inserir novamento os dados de pagamento porque meus carto~es na~o tem limite. Entrei novamente em contato hoje tentando resolver minha situac¸ao mas mais uma vez nada foi resolvido, eu era jogada entre dois setores, o setor X me transferia pro Y, o Y transferia de volta pro X, o X de volta pro Y, isso aconteceu umas 5 vezes ate que perdi minha paciencia pois estava me sentindo uma palhac¸a. Eu realmente gostaria muito que desse certo a compra, desejo muito o produto, consegui uma promoc¸a~o boa, criei expectativa que vem sendo frustada. A minha compra esta´ aprovada em ambos carto~es (entrei em contato hoje 24/11 com as duas operadores e ambas confirmaram) eu realmente na~o estou entendo o porque consta na~o aprovado na ponto frio e gostaria muito que fosse solucionado.</t>
  </si>
  <si>
    <t>Comprei um iphone 11 nas casas bahia Black Friday para receber em 18/11/2021,ja´ passou da data e a encomenda nao chegou na minha cidade .Na~o posso ficar no prejui´zo de um objeto ta~o caro.
Ja´ tentei informac¸a~o no Whatsapp da loja e na~o tive sucesso.
Tenho o nu´mero de rastreio dos Correios e la´ mostra que a encomenda foi postada diz 5/11e encaminhada para Bele´m, mas o status na~o muda desde essas data.Preciso de um posicionamento da loja.Comprei,paguei e quero receber o produto. Ja´ entrei em contato com atendente da loja virtual  e ainda na~o tenho retorno .Preciso de uma decisa~o da loja urgente.
Preciso saber o que aconteceu. 
Na~o posso ficar no prejui´zo.</t>
  </si>
  <si>
    <t>Estou tentando comprar um produto no site e so´ recebo a seguinte mensagem ao tentar efetuar o pagamento:
Protocolo:3a01db14-adb5-4c34-813a-9640142a9d9e -Erro ao fechar compra.
Sobre o que se trata e como resolveriam?</t>
  </si>
  <si>
    <t>Estou procurando por um produto cafeteira Cafe´ Nespresso Essenza Mini C30 e achei uma no ponto frio ofertada a R$ 249,00. Quando vou finalizar a compra ele diz que na~o esta´ disponi´vel para entrega no meu CEP e eu tenho va´rias formas de receber inclusive em Sa~o Paulo, so´ que para CEP nenhum a cafeteria esta´ disponivel. Estou precisando comprar esse produto e na~o quero perder essa oportunidade. Alo Casas Bahia. O que pode ser feito?</t>
  </si>
  <si>
    <t>Comprei um fone de ouvido na promoc¸a~o e a compra foi cancelada sem nenhum motivo. E fui fazer a compra novamente e o fone esta´ o dobro do valor.</t>
  </si>
  <si>
    <t>Oi fiz uma compra pelo app das casas bahia no dia 16/11 nu´mero do pedido 298525288 com previsa~o de entrega no dia 22/11 ate´ 24/11, pore´m na~o foi entregue e no app so´ foi atualizado no dia 19/11 como pedido em transporte pela vvlog logi´stica ltda, e na~o tem como se rastreando pois o aplicativo da empresa transportadora esta fora de sistema sempre.Preciso da soluc¸a~o urgente. Obrigada</t>
  </si>
  <si>
    <t>Estava realizando uma compra no site das Casas Bahia de uma TV LG 75 em que estava utilizando um cupom de Desconto que estava disponi´vel no site com o co´digo BLACK,o cupom ja´ estava aplicado e eu estava pra fechar a compra o mesmo parou de aplicar e eu na~o consegui fechar o pedido!Que enganac¸a~o e´ essa ao consumidor?Quero um co´digo de cupom com mesmo desconto para que eu possa realizar minha compra!Tenho pront do cupom aplicado!</t>
  </si>
  <si>
    <t>O item co´digo 55011364 esta´ com anu´ncio de frete gra´tis para todo o Brasil, pore´m ao colocar meu CEP e´ cobrado o valor de R$14,90. Isso e´ propaganda enganosa.
Solicito que o produto seja vendido de acordo com o anu´ncio respeitando o Co´digo de Defesa do Consumidor, artigo 37.</t>
  </si>
  <si>
    <t>Fiz uma compra de uma mochila no site das Casas Bahia, acontece que hoje recebi um email informando que minha compra ja´ havia sido entregue desde o dia 23/11/21 fato que na~o aconteceu, ou seja, comprei, paguei e na~o recebi o meu produto espero que o meu problema seja resolvido, pois eu quero o produto que comprei e na~o recebi, ningue´m recebeu esse produto em minha reside^ncia. Espero que as Casas Bahia fac¸a valer o meu direito de consumidora e que ele seja respeitado.</t>
  </si>
  <si>
    <t>Efetuei uma compra, no dia 22/11/2021, as 08:42h de um smartphone e uma cadeira gamer. No mesmo dia foi creditado, no meu carta~o o valor dos produtos. Contudo, ate´ o presente momento, o aplicativo e site da empresa me informam que esta~o aguadando analise de pagamento. Tentei resolver no dia 23, onde a Ura informa 24h e no dia 24/11/2021, o Atendente me informou que o status mudaria ainda no dia de ontem. Preciso dos produtos com urge^ncia!!!</t>
  </si>
  <si>
    <t>Estou tentando comprar uma cama desde ontem pelo app, site e da erro ao finalizar a comprar. Entrei em contato com o televendas que tampouco conseguem realizar a compra, dando o mesmo erro. Entrei em contato com o sac. E na~o existe te´cnico de ti para saber o porque^ do erro. Tentei comprar por outro telefone e computador e da o mesmo. Ningue´m sabe o que acontece. Eu so´ queria comprar.</t>
  </si>
  <si>
    <t>Comprei um Xbox Series S + controle adicional por 2.799,00 no site das Casas Bahia, no dia 13/11/2021. O controle adicional ja´ foi enviado, esta´ para ser entregue hoje. No entanto, o mesmo na~o pode ser dito do console, que nem sequer teve sua nota fiscal emitida. No app da empresa, afirma que o console sera´ entregue no dia 07 de janeiro, ou seja, me venderam um produto que na~o possui´am em estoque, o que configura publicidade enganosa. Efetuo essa reclamac¸a~o apenas para comprovac¸a~o judicial caso seja necessa´rio, na~o tenho interesse em ser ressarcido, quero o cumprimento integral da oferta.</t>
  </si>
  <si>
    <t>Tentei resolver via chat e pelo whatsapp na~o tive sucesso. 
Bom, comprei pelo site das casas Bahia em uma loja terceirizada com nome de Cambucell. Procurei sobre essa empresa e na~o acho nada, tentei contato via email e telefone, pore´m na~o obtive sucesso. E no atendimento online na~o consegui chegar a lugar nenhum. Sei que esta´ dentro do prazo, pore´m, ja´ me aconteceu da loja cancelar o meu pedido por falta de estoque. Queria confirmar se a loja vai ter estoque para me enviar ou na~o?
Pedido 299410257</t>
  </si>
  <si>
    <t>Na data de hoje recebi e-mail das casas Bahia de que o pedido n. 298787983, Galaxy Fit2 Samsung com Bluetooth, Sensor de Freque^ncia Cardi´aca e Resiste^ncia a` a´gua - Vermelho, foi entregue, contudo, nada recebi.
Vale destacar que o produto e´ referente ao resgate de pontos no site Livelo, por isso na~o consta vinculado ao meu cadastro no site das Casas Bahia.
Tentei contato via telefone mas na~o tive sucesso, pois ha´ apenas atendimento de atendente virtual, na~o transfere para pessoa fi´sica.
Tambe´m na~o ha´ possibilidade de contato por e-mail ou chat, ou envio de Reclamac¸o~es. O Sac da empresa e´ extremamente deficita´rio, que dificulta ainda mais a soluc¸a~o do problema.
Aguardo retorno e soluc¸a~o.</t>
  </si>
  <si>
    <t>A dois dias atra´s comprei um smartphone pelo site, o qual na~o confirmou e me redirecionou para preencher novamente os dados de pagamento. Feito isso, eles confirmaram a compra e me mandaram o nu´mero do pedido ate´ ai´ ok! Em seguida quando entro na parte do pedido pra verificar o status da compra descubro que foi feita a compra de dois aparelhos!
Enta~o decidi cancelar os pedidos, o primeiro pedido, o que na~o me confirmaram eles atualizaram o Status para Cancelamento solicitado, ate´ ai´ ok. Ja´ o segundo pedido eles na~o esta~o aceitando o cancelamento, dizendo que na~o e´ possi´vel realizar o cancelamento do produto. O que e´ intrigante e´ que no status dos pedidos consta que nenhum dos dois esta~o em tra^nsito, enta~o qual o motivo pra eles na~o realizar o cancelamento?
Tem sido uma experie^ncia muito frustrante, pois caso eles na~o cancelem terei problemas com a operadora do carta~o!</t>
  </si>
  <si>
    <t>Bom realizei uma compra pelo site no dia 19/11/2021 numero do pedido 299465157, o pedido em questa~o e´ um Moto G60 Azul, pore´m a nota fiscal do produto veio com o nome de minha ma~e Sheyla Ferreira do Nascimento queria realizar a troca para meu nome, liguei no dia 20 quando percebi o erro deram dois dias uteis, foi gerado esse protocolo 211120018411, liguei novamente pois na~o aconteceu o acerto foi gerado esse protocolo 211123042396 e ate´ agora nada, na~o posso usar o produto porque na~o posso colocar em seguro porque a nota fiscal esta errada, na~o sei mais o que fazer, ja liguei duas vezes e da~o dois dias u´teis e nada, whatsapp nem respondem, twitter nem se fale.</t>
  </si>
  <si>
    <t>Comprei uma mesa de jantar do modelo Viero Esmeral na cor grapia ru´stico/preto na data do dia 20/11/21 pelo aplicativo da Casas Bahia. A entrega ocorreu dentro do prazo, tudo certinho, pore´m durante o processo de montagem da mesa o montador reparou que a pec¸a nu´mero 2 do lado esquerdo do pe´ da mesa veio faltando. Era pra ter 4 pec¸as de madeira iguais, pore´m so´ haviam 3. Tentei solicitar somente essa pec¸a pelo aplicativo das Casas Bahia, mas la´ eles na~o da~o essa opc¸a~o, somente a de devolver toda a mesa e trocar por uma nova, mas eu ja´ gastei dinheiro pagando algue´m pra montar, ale´m de ter rasgado todo a caixa aonde as placas de madeiras vem armazenadas, sendo impossi´vel fazer a devoluc¸a~o. Pec¸o por gentileza que voce^s me enviem apenas a pec¸a que ficou faltando para que eu posso completar a mesa. Segue em anexo a foto da mesa sendo montada com a falta da pec¸a em questa~o. As cadeiras e a parte de cima da mesa vieram perfeitas, so´ ficou faltando essa pec¸a mesmo. Estou muito cheteada. .</t>
  </si>
  <si>
    <t>No dia 23/11/2021 visualizei um anuncio de uma cadeira no site do ponto frio, achei bem vantajoso e logo corri para comprar, abri uma outra guia para verificar se aquele era realemente o prec¸o ofertado, e realmente era. Sendo assim, realizei a compra e fiz o pagamento atrave´s do meio de pagamento PIX e isso gerou um comprovante, um pouco depois recebi um pix, no mesmo valor que paguei pela cadeira. Caracterizando um possivel estorno, verifiquei no site da empresa e minha compra na~o tinha gerado um numero de pedido. Momentos depois o valor da mesma cadeira subiu para o valor padra~o de mercado. Tenho os prints da oferta no site, tenho o print do chechkout no momento do pagamento no site, e tenho o comprovamente de pagamento no valor que estava no site. Pesquisei e verifiquei que este e´ um caso onde a loja na~o cumpre com a oferta oferecida, e neste caso, eu na~o optei pelo reembolso. Desejo receber o produto que comprei e na~o o dinheiro de volta. Estou disposto a entrar com uma ac¸a~o caso na~o receba meu produto.</t>
  </si>
  <si>
    <t>Comprei uma TV de 70 polegadas no dia 23/11 as 21:10h pelo app das Casas Bahia no valor promocional de R$ 3.999,00 na modalidade de pagamento carta~o de cre´dito. O carta~o de cre´dito possui limite disponi´vel para efetuar a compra, pore´m para minha surpresa ontem, dia 24/11 as 20:42h, meu pedido de N 300236987 foi cancelado. Imediatamente que verifiquei o cancelamento entrei em contato via SAC (11) 4003-4336 as 21:51h e a atendente me informou que a u´nica soluc¸a~o seria eu repetir a compra pois o cancelamento era um procedimento das Casas Bahia e na~o poderia fazer de outra forma. No entanto a TV no app da loja ja´ estava, no referido hora´rio, no valor de R$ 5.999,90 e hoje 25/11 as 10:51h aparece novamente com o valor promocional, entretanto indisponi´vel!! Solicito uma explicac¸a~o para isto Casas Bahia.</t>
  </si>
  <si>
    <t>Comprei uma TV Samsung 70 pelo carta~o para entrega em 1 dia u´til. Na~o foi entregue no prazo e reclamei duas vezes no SAC. 7 dias u´teis depois fui informado por email que a compra foi entregue. Informei pelo email que a compra na~o foi entregue. No nono dia u´til solicitei cancelamento e devoluc¸a~o do valor no carta~o. A URA informou que eu iria receber um cre´dito para compra futura. Ale´m de na~o entregar o produto, a empresa informa que o produto foi entregue e na~o devolve o dinheiro como solicitado.</t>
  </si>
  <si>
    <t>Fiz uma compra com a parceria TDA x Pontofrio acumulando 12 pontos para real gasto (compra n 300235928) no qual ocorreu a promoc¸a~o (para esta promoc¸a~o de 12:1 e´ necessa´rio ser Clube Tudo azul, no qual eu fac¸o parte, o produto precisa ser vendido e entregue pela Ponto frio (o produto se encaixa tambe´m nesse requisito) e seguir as regras gerais da promoc¸a~o "PARA GANHAR SEUS PONTOS E´ NECESSA´RIO REALIZAR O OPT IN APO´S A CONCLUSA~O DO SEU PEDIDO, DO CONTRA´RIO, OS PONTOS NA~O SERA~O CREDITADOS" no passo em que foi seguida, conforme as imagens em anexo). Entretanto, por conta da administradora do carta~o, a compra foi cancelada. 
Na presente data, 24 de novembro de 2021, fiz outra compra (n 300338589) de outro aparelho, no entanto, ao final da compra (conclusa~o do pedido) na~o apareceu a caixa "acumule benefi´cios em sua compra", muito menos a opc¸a~o "acumular pontos" conforme as imagens em anexo.
Tambe´m seguiu os requisitos de "vendido e entregue por Pontofrio conforme a imagem em anexo.
Diante disso, estou requerendo a aplicac¸a~o dos 12 pontos para 1 real gasto sobre a compra n 300338589, uma vez que segui todos os requisitos e regras de tal promoc¸a~o e por culpa do site, na~o foi possi´vel realizar o "acumule benefi´cios em sua compra e /ou Acumular pontos" como nos conformes da primeira tentativa.
Caso contra´rio, serei obrigado a tomar as medidas judiciais cabi´veis.</t>
  </si>
  <si>
    <t>Realizei uma compra no dia 24/11/2021 por volta das 22h, tentei realizar o pagamento usando carta~o de cre´dito que foi bloqueado pela operada, apo´s realizar o desbloqueio e realizar novamente o pagamento houve o de´bito do carta~o de cre´dito mas a situac¸a~o no App e Portal na~o mudou, continua como "Pagamento sendo analisado".
No momento que escrevo esta reclamac¸a~o, fazem 18h que consta a mesma mensagem.
Tentei contato e a informac¸a~o que recebi e´ que na~o ha´ o que ser feito e que tenho que esperar 48 horas u´teis, ou seja, o prazo de entrega sera´ estendido em 4 dias justamente pelo fato de na~o terem aprovado o pagamento.</t>
  </si>
  <si>
    <t>Fiz uma compra no dia 15/11/2021 de um ventilador Mondial no App das casas Bahia. Pore´m a entrega so´ foi hoje 24/11/2022. Para minha surpresa, apo´s receber o produto, notei a embalagem violada, e dentro estava a base totalmente quebrada, e partes soltas. Imediatamente recorri ao aplicativo e a central de atendimento para tentar resolver o problema. Para ouvir que apenas no dia 13/12/2021 sera´ coletado o produto na minha casa, para ai´ enta~o ser levado para ana´lise, e posteriormente ser trocado. 
E´ inadmissi´vel um prazo desse, entrega feita sem nenhum cuidado e ainda ter o desconforto de aguardar va´rios dias novamente. Preciso que essa troca seja feita o mais breve possi´vel, ou enta~o em uma loja fi´sica, devidamente autorizada para que na~o haja a necessidade de aguardar por tanto tempo.</t>
  </si>
  <si>
    <t>Fiz uma compra no site no dia 12 deste me^s. logo que finalizei a compra, recebi uma oferta melhor do mesmo produto. 
O pagamento ainda nem havia sido confirmado enta~o tive que aguardar a confirmac¸a~o do mesmo para pedir o cancelamento. O que foi feito no mesmo instante que recebi a notificac¸a~o da aprovac¸a~o.  
No entanto, mimha solicitac¸a~o na~o foi aceita! O pedido foi faturado e enviado!! 
 Quando entrei novamente em contato, fui informado que teria que esperar a entrega do produto para so´ apo´s dar ini´cio ao processo de cancelamento, fosse pela recusa ou devoluc¸a~o do pedido. 
O prazo de entrega se extinguiu ontem, dia 23, e nenhuma tentativa de entrega foi efetuada ! Nem mesmo o rastreamento do pedido conseguiu obter quando solicitado.. 
Hoje, ao entrar em contato novamente, disseram que eu devo CONTINUAR AGUARDANDO a entrega para que possam proceder com a devoluc¸a~o!!! 
Palhac¸ada ne´?!  
Cada vez que tento contato com o atendimento do extra me passam mais e mais prazos para um retorno. que nunca obtenho!  
Nao quero mais aguardar, quero o cancelamento do pedido pelo DESCUMPRIMENTO DO PRAZO de entrega e o imediato reembolso dos valores pagos!</t>
  </si>
  <si>
    <t>Encomendeiros um telefone modelo a31 128g me pediram a entrada de R$ 199.99 +12 parcelas de 139.90 aceitei fiz o pix de R$ 199.99 depois de efetuar o pix na~o falaram mais comigo enta~o pedi o co´digo de rastreamento ai fui em formado que teria que pagar o frete de R$199 enta~o recusei a compra e ate agora na~o me devolveram meu reembolso e me bloquearam</t>
  </si>
  <si>
    <t>Comprei o site dava prazo de entrega para 16/11 ate´ a data na~o tem nem nota fiscal, pore´m foi no carta~o de cre´dito, liguei deram o prazo de 7 dias reembolso. Absurdo</t>
  </si>
  <si>
    <t>Fui Fazer uma compra em 2 sites de busca de um Notebook Compaq pressario 435 no valor de R$2479.00 e ao ser direcionado as Casas Bahia a fazer o pagamento a surpresa valor de R$3.499.00 liguei pro SAC pro televendas e Simplesmente desligam na minha cara , ate´ que uma vendedora entrou em contato comigo e me ofereceu um modelo Inferior ao Anunciado pelo mesmo valor ( notebook COMPAQ PRESARIO 430 )Fiquei decepcionado com a loja e com atendimento cai´ram bem o padra~o espero que resolva o meu problema e que fac¸a valer o anu´ncio dos sites parceiros delesBuscape´ e Zoom.com.br</t>
  </si>
  <si>
    <t>Realizei uma compra pelo aplicativo ontem , hoje a atendente da empresa me ligou confirmando a compra , confirmei a compra, os dados, tudo correto , dinheiro ok , tudo Ok . 
Minha compra foi cancelada sem nenhum motivo , desreipeito tremendo .
Pedido :300684924
Ja tentei todas formas possiveis de contato com a empresa , e nada .
Um absurdo .</t>
  </si>
  <si>
    <t>Fiz um pedido dia 26/11 e la´ dizia retire seu produto em 2h tudo bem fiz o pedido demorou pra aprovar o pagamento mesmo sendo carta~o e quando aprova aparece uma mensagem voce^ pode retirar seu produto a partir de 6 de dezembro isso e uma brincadeira so´ pode pedi o cancelamento e na~o me deram nenhuma informac¸a~o sobre o restorno e o telefone na~o funciona.</t>
  </si>
  <si>
    <t>Fui enganado pelas Casas Bahia. Comprei uma fritadeira na Livelo com 31800 pontos no Antecipa Black Friday.. Depois as Casas Bahia me mandaram um email dizendo que nao tinha mais em estoque e me enganando e induzindo ao erro de pedir os pontos de volta. 
Depois vi que tinham estoque, mas que estavam vendendo a 38720 pontos. me senti vitima de um ESTELIONATO.. 
Tentei resolver pelo Site/Chat.. e eles DESLIGARAM NA MINHA CARA.. 
Vejam a conversa:
 Rafael: Oi, meu nome e´ Rafael. Em que posso ajuda´-lo?
 rafael: Boa tarde
 marcos nader: boa tarde. comprei uma fritadeira pela Livelo na promocao de antecipa black friday e recebi a seguinte mensagem:
marcos nader:
Prezado cliente, referente ao pedido  299422184 , informamos que infelizmente na~o temos o produto em estoque, sendo assim
temos algumas opc¸o~es de atendimento:
- Cancelamento da compra por vale;
- Cancelamento da compra de acordo com a forma de pagamento;
Pedimos desculpas pelo transtorno causado, estamos a` disposic¸a~o para mais esclarecimentos.
Por favor, responda este e-mail ou ligue para a nossa Central de Atendimento para que possamos dar andamento ao seu pedido.
Em caso de du´vidas, na~o deixe de entrar em contato com a gente atrave´s da nossa Central de atendimento.
(11) 4003-4336
De segunda a sexta, das 8h a`s 20h, aos sa´bados das 8h a`s 18h
Atenciosamente,
 marcos nader: acontece que voces tem o produto a venda no site por um preco superior. entao estou me sentindo enganado!!
 marcos nader: um absurdo total
 rafael: Voce^ poderia confirmar o nu´mero do CPF do titular da compra, um e-mail e ate´ 2 telefones, por gentileza?
 marcos nader: ja digitei no formulario
 rafael: Eu na~o consigo visualizar
 marcos nader: xXXXX
 marcos nader: XXX
 marcos nader: xxx
 marcos nader: eu quero o meu produto como eu comprei
rafael: Aguarde um momento
 rafael: Foi realizado a cancelamento em sistema no dia 25/11/2021 e o valores foram devolvidos para a forma de pagamento utilizado para a compra e uma vez cancelado na~o tem como reverter em sistema
 marcos nader: eu nao aceito.. voces me induziram ao erro mentindo que nao tinha em estoque..
 marcos nader: o maior absurdo.
 rafael: Hoje o valor esta´ mais barato https://www.casasbahia.com.br/Eletroportateis/Fritadeiras/fritadeira-air-fry-philco-oven-pfr2200p-12l-preta-55020321.html
 marcos nader: nao esta porque eu paguei com pontos da livelo.
 rafael: O valor esta´ 699,00
 marcos nader: esta 38000 pontos eu eu paguei 31000 na "promocao" fake
 marcos nader: https://www.livelo.com.br/fritadeira-air-fry-philco-oven-pfr2200p-12l-preta/produto/LVL29353934
 marcos nader: e agora ????
 marcos nader: devem estar enganando todo mundo na black de hoje. vou postar a reclamacao..para outros nao serem enganados.
 rafael: Infelizmente uma vez cancelado na~o tem como reverter em sistema. Foi passada as informac¸o~es referente ao seu pedido. Encerro o contato.
 rafael desconectou-se.</t>
  </si>
  <si>
    <t>Fui ate´ a loja e o vendedor me passou um link do produto que sairia mais barato. O Vendedor informou que o praso da entrega seria de 3 dias. Pore´m ao fechar o pedido o praso da entrega subiu para 8 dias. E agora, ao consultar o site, sem aviso nenhum eles aumentarm o praso de entrega para 11 dias sem me comunicar. Os canais de atendimento na~o esta~o funcionando.</t>
  </si>
  <si>
    <t>Comprei uma geladeira da marca Samsung Side By Side nas Casas Bahia dia 24/11/2021, com a promessa de entrega de 1 dia u´til, sendo a entrega para o dia 25/11/2021. Eu so´ fiz essa compra porque entregaria em 1 dia u´til, estou com a geladeira queimada e estou tendo prejui´zo de todos produtos alimenti´cios que estavam armazenados e esta~o estragando. Isso e´ enganar o consumidor. Eu ligo, mando mensagem e ningue´m da uma posic¸a~o correta. Entro no site e ainda esta´ la´ para quem comprar o produto entrega em 1 dia u´til, tudo mentira, propaganda enganosa para vender. Deixei de comprar no concorrente porque entregaria no dia seguinte e agora? O que eu fac¸o com os produtos estragando e sem posic¸a~o de entrega. Descaso total e propaganda enganosa para vender.</t>
  </si>
  <si>
    <t>Realizei a compra de um celular no site das Casas Bahia no dia 14/11/2021, com o pagamento aprovado no dia 17/11/2021. No site constava 4 dias u´teis para a entrega do pedido (entrega dia 23/11/2021), entretanto, ele foi programado para ser entregue no ma´ximo ate´ o dia 24/11/2021. Hoje, final do dia 24/11/2021, o pedido ainda na~o foi entregue, e, na plataforma de rastreio da empresa, na~o ha´ atualizac¸o~es do andamento da entrega, a qual a u´ltima foi feita no dia 20/11/2021. E´ inadmissi´vel a empresa prometer uma entrega em um prazo e na~o cumprir, uma empresa realiza propagandas de entregas pro´pria, ainda mais com produtos de alto custo, em que os consumidores esperam utiliza´-lo o quanto antes.</t>
  </si>
  <si>
    <t>Comprei um impressora a vista pela loja online das Casas Bahia. Como opc¸a~o de entrega escolhi o retire ra´pido, que segundo eles eu poderia retirar o meu produto a partir de 2h apo´s a aprovac¸a~o do pagamento. Mas depois que finalizei a compra veio a surpresa. A informac¸a~o que eu recebi foi a seguinte: "Estara´ disponi´vel para retirada em ate´ 6 dias u´teis". Decidi comprar no site deles pela urge^ncia em receber essa impressora e por essa "vantagem" de poder ir buscar o meu produto no mesmo dia. Trabalho em casa e necessito dessa impressora. Fiquei atrai´do por essa opc¸a~o de retirar no mesmo dia. 
Fui ate´ a loja, onde era pra eu ter retirado minha impressora, e descobri que eles na~o tinham essa impressora em estoque. Enta~o porque eles deixaram essa opc¸a~o de retire ra´pido ativa na loja online? 
Agora, vou ter que esperar ate´ 6 dia U´TEIS para ainda ter o incomodo de ir la´ buscar o meu produto. Na~o e´ a primeira vez que tenho problemas com compras pelo site das Casas Bahia. Certa vez minha esposa comprou pelo site com essa opc¸a~o retire a partir de 2h, chegou a receber um e-mail dizendo que o produto dela estava disponi´vel para retirada, chegando la´ disseram para ela que na~o tinham o seu produto em estoque. Na~o sei se meu problema sera´ resolvido. Mas uma coisa e´ certa, eu nunca mais compro mais nada pela loja online das Casas Bahia, na~o importando o qua~o barato esteja.</t>
  </si>
  <si>
    <t>Fiz a compra de uma geladeira produto essencial para meu lar, ja´ aprovaram a compra no carta~o de credito(me informei com a central) e a casas bahia fica fica no site aguardando aprovac¸a~o, e detalhe no site tem que entrega com 1 dia u´til ou seja segunda ou terc¸a da semana que vem, minha geladeira antiga parou de funcionar e estou precisando bastante que a nova geladeira chegue o mais ra´pido possi´vel pois ainda nem fiz minhas compras pelo fato de esperar a nova para armazenar e o que tem pereci´vel de refrigerac¸a~o ta´ na casa de vizinho.. um saco! Espero que aprovem logo para que realmente venha no prazo informado pois dei prefenrecia a casas bahia ate´ mais caro que em outros sites por conta da entrega em 1 dia u´til!
Se for cancelar, cancele logo que comprarei em outra loja pois preciso do produto e na~o posso ficar esperando a boa vontade de nenhuma loja pra isso, estou pagando e na~o e´ de grac¸a!
Segue em anexo
Pedido: N300968904</t>
  </si>
  <si>
    <t>Efetuei a compra de um Celular no site do Extra (pedido 299450336) e no momento do fechamento do pedido a informac¸a~o que seria entregue ate´ o dia 23/11/2021.
O pedido na~o foi entregue, e a tal Transporta VVLOG na~o entrega o produto, na~o atualiza o rastreamento, ou seja uma empresa que tem respeito zero pelo cliente do cliente deles.
O iro^nico que na Danfe que o EXTRA, CLIENTE da VVLOG esta´ escrito que e´ uma entrega priorita´ria e a VVLOG trata o prazo dessa maneira, imagino coitado do cliente do EXTRA ou melhor da VIAVAREJO que a nota fiscal na~o tenha informac¸a~o de priorita´rio.</t>
  </si>
  <si>
    <t>Adiquiri um produto no dia 22/11/2021 e no ato da compra foi informado que o produto seria entregue no dia 25/11/2021 contudo na~o foi cumprido. Foi aberto um chamado com prazo de 10 dias para resoluc¸a~o do problema. Se eu comprei um produto para ser entregue no dia 25 e na~o foi entregue na data, me sinto lesada. Comprei porque precisava do produto para aquele dia. Agora na~o posso comprar em outro lugar pois o limite do meu carta~o esta sendo usado por esta compra.
Aguardo uma resoluc¸a~o imediata do Extra.</t>
  </si>
  <si>
    <t>Prezado(a), o Smartphone Samsung Galaxy M62, que comprei (Pedido: 299832153 loja online do EXTRA - PROTOCOLO ABERTO N 211126-004362) esta´ atrasado na entrega. Preciso do celular para trabalhar e estou sem para utilizar. Estou tendo prejui´zo econo^mico. Como podemos resolver isso sem ser via Juizado Especial Civil?</t>
  </si>
  <si>
    <t>Comprei um produto na madrugada do dia 26 de novembro e, minutos depois, solicitei o cancelamento, pois observei que na~o era o que eu buscava. O pedido de cancelamento foi feito logo em seguida, eu reforc¸o. Hoje pela manha~, por volta das 8h, entrei em contato com o Extra pelo Whatsapp e reiterei o pedido de cancelamento, pois estava com medo de o produto ser levado pela transportadora e na~o ser cancelado. Acentuei que eu havia feito a solicitac¸a~o ANTES do pedido ser enviado. A atendente, como o print da conversa mostra, reiterou que o pedido de cancelamento estava em andamento e que eu na~o precisava me preocupar.
Para a minha surpresa, uma hora depois, recebi a noti´cia de que o produto havia sido coletado pela transportadora. Veja: um produto CANCELADO foi COLETADO pela transportadora. Liguei no Extra e fui atendido por uma pessoa muito mal educada e que so´ se dirigiu a mim com condescende^ncia, palavras passivo-agressivas e me tratou como se eu na~o soubesse de nada. Disse que o pedido de cancelamento foi feito DEPOIS da coleta da transportadora e que eu so´ precisava recusar a entrega. 
Eu na~o POSSO esperar recusar a entregar para que o produto depois seja reembolsado. Se eu fiz o cancelamento ANTES do produto ser coletado, o Extra passou por cima do meu pedido. Por que agora eu tenho que arcar com o custo de 4300 reais na minha fatura, de uma vez, para so´ me^s que vem ser estornado? A atendente que me ajudou pelo Whatsapp, inclusive, garantiu que o pedido seria reembolsado em ate´ 7 dias u´teis. Agora que esta´ na transportadora, devo esperar 10 dias u´teis para ele ser entregue, recusar a entrega, esperar ele voltar ao centro de distribuic¸a~o para so´ enta~o esperar 7 dias para ter o dinheiro de volta. E a minha fatura, quem paga? Eu ja´ fiz a compra do produto certo e ja´ paguei, na~o tenho condic¸o~es de tirar 4300 reais de lugar nenhum apenas porque o Extra agiu de ma´ fe´. Quando entro no status do pedido, aparece que a entrega foi cancelada, mas o atendente disse que o produto esta´ com a transportadora e que devo recusar o recebimento. No que acreditar, o que fazer diante disso?
Alia´s, o atendimento deveria passar por mudanc¸as expressivas, porque ha´ tempos que na~o era tratado com tanto sarcasmo e deboche. Espero que esse atendente nunca seja tratado da forma que me tratou. Oferec¸o, em anexo, a gravac¸a~o da conversa com o atendente e com prints de tudo que aleguei aqui.</t>
  </si>
  <si>
    <t>fiz uma compra no site de um celular para entrega dia 24/11/2021 e ate agora nada onde fica o compromisso com o cliente que falta de profissionalismo</t>
  </si>
  <si>
    <t>19/11/2021 Efetuei uma compra de um celular LG k41 era um presente ! Na~o recebi o produto fiquei em casa o dia todo 26/11/2021 empatada de fazer meus compromissos liguei mais de 6x todos os atendimentos na~o resolveram minha solicitac¸a~o na~o sabiam passar informac¸o~es e nem o que houve nem o que a transportadora fez com o pedido nem quando vou receber ! Entrou indignada falta de respeito com o cliente vou colocar na justic¸a ! Ningue´m passa nem qual transportadora e´ e nem quando vou receber
In559237694ac 
 211126018220
21126043052
211126043052
Alguns dos nu´meros de protocolo
To^ ta~o nervosa que minha ansiedade atacou por causa disso 
Quero meu produto ate´ amanha~ !</t>
  </si>
  <si>
    <t>Comprei uma batedeira e um jogo ee talheres um com 2horas pra retirada e outrou com 4 dias, comprei no sa´bado dia 20/11achando que ia ser mais fa´cil, pore´m ja´ estamos do dia 26/11 e nada de libera a retirada dos produtos, qd entro pra ve^ se for liberado so´ diz retirada aparti de 26 de novembro , se qd fui compra estava retirada em 2 horas e o outro retirada em 4 dias, se na~o tem a PORRA DO PRODUTO PRA QUE VENDE ? ningue´m e´ idiota na~o acha que ganhamos na mesa sena que compramos a toa, se compramos e pq precisamos da mercadoria.</t>
  </si>
  <si>
    <t>MINHA MAE EFETUOU UMA COMPRA NO CREDIARIO NA FILIAL 080 PONTO FRIO CALCADAO DE BANGU GERENTE RENATA E COODENADORA DE FILIAL ELISABETE.  MINHA MAE FEZ ESSA COMPRA E POR NAO SABER LER E ESCREVER ELA ASSINA COM A DIGITAL,E ELA ASSINOU JUNTO FOI UMA GARANTIA ESTENDIDA E UM SEGURO JUNTO NUM TOTAL DE 1086,00. A MAIS NA COMPRA DELA. LEVEI A INHA MAE ATE A LOJA E A GERENTE NEM SE QUER APARECEU,JA A COORDENADORA DE FILIAL DISSE QUE NAO TINHA SISTEMA E NAO IRIA CANCELAR. PERGUNTEI A ELA SE TERIA SISTEMA PRA VENDA MAS PRA CANCELAR NAO,ELA RIU COM DEBOCHE E DISSE VOLTA DEPOIS DE 7 DIAS! OU SEJA,VOLTE DEPOIS DE NAO TER MAIS DIREITO DE CANCELAR NADA!
EU DISSE A ELA QUE ISSO ERA CRIME E ELA IGNOROU.RESUMINDO,MINHA MAE VAI PAGAR A MAIS QUERO CANCELAR E NAO SABEMOS O QUE FAZER</t>
  </si>
  <si>
    <t>Bom dia Prezados, 
na data de hoje 26/11/2021, fui contato com um funciona´rio das Casas Bahia que havia sido feito uma compra em meu nome.. naturalmente isso na~o ocorreu de minha parte por isso a reclamac¸a~o.
Pec¸o que por favor excluam qualquer cadastro que houver sido feito por um meliante para que na~o fique registro de meus dados em uma empresa que embora respeite na~o efetuei NUNCA cadastro!
Agradec¸o a prestatividade na atenc¸a~o de voce^s (Casas Bahia) em verificar esse tipo de Fraude e entrar em contato, na~o obstante quando verifiquei no site aparece um email que naturalmente na~o e´ meu.
Agradec¸o desde ja´ a atenc¸a~o e fico no aguardo para resolvermos isto quanto antes.
Obrigado</t>
  </si>
  <si>
    <t>Comprei dia 08/11/21,com a data da entrega dia 29/11
Mas ate´ hoje dia 27/11 o status da minha compra ainda esta em pagamento aprovado
Eles nao mi querem mi da uma satisfac¸a~o antes do dia 30/11</t>
  </si>
  <si>
    <t>Notebook da Dell processador I3, 4gb de memo´ria e 256 GB de HD. 
Ontem 25/11/2021 no valor de  2.700,00,  hoje 26/11/2021 esta black Friday 2.849,00 no extra e no ponto frio, com o selo Black Friday.</t>
  </si>
  <si>
    <t>Na~o consigo alterar o nu´mero do meu celular antigo no cadastro do site do Ponto Frio e, com isto, vou perder o desconto das ofertas da Black Friday.</t>
  </si>
  <si>
    <t>Sempre aparece anu´ncios do ponto frio para mim e toda vez que aperto neles, sou direcionada para o aplicativo e la´ os prec¸os na~o batem, e´ uma diferenc¸a exorbitante</t>
  </si>
  <si>
    <t>Estava buscando uma cafeteira de ca´psulas e o aplicativo ZOOM, que compara prec¸os e da promoc¸o~es me informa que a Ma´quina de Cafe´ Nespresso essenza mini C30 (https://www.extra.com.br/maquina-de-cafe-nespresso-essenza-mini-c30-com-kit-boas-vindas-preta/p/11779520) esta´ por R$249.
O´tima oferta, decidi comprar. Ao adicionar meu enderec¸o, na~o aparecem as formas de entrega. Na~o me diz qualquer aviso como "na~o pode ser entregue na regia~o", apenas fica eternamente carregando a opc¸a~o de entrega e na~o carrega. Logo, me faz crer que e´ um bug do site.
Tentei 3 CEPS diferentes, tentei comprar pelo navegador e nada.
Na~o satisfeita, entrei em contato via WhatsApp, que me pediu para entrar em contato por WhatsApp. Me levaram ao televendas - fui atendida ra´pido, ate´ - e a moc¸a me solicitou mais de um CEP e disse que o vendedor na~o entrega na regia~o. E eu perguntei em qual raio de km ele entrega, ela na~o soube me responder, disse que na~o tem acesso a base deles.
E´ RIDI´CULO que em plena Blackfriday no´s tenhamos esse tipo de bug no site, e tenham promoc¸o~es que na~o possam ser enviadas.
A atendente chegou a dizer que mais de um cliente ligou para falar sobre a cafeteira.
Se faz a oferta e na~o pode entregar nem explica por que (se e´ entrega local, ou retirada) , na~o me deixa du´vida a na~o ser de que e´ uma propaganda enganosa.
Esperei o dia inteiro por uma promoc¸a~o e a melhor que tive na~o pude aproveitar.
Sou cliente extra, ja´ fiz outras compras la´, mas com esse amadorismo em PLENA BLACK FRIDAY, nunca mais.</t>
  </si>
  <si>
    <t>Tenho um cartao ponto frio onde alguns produtos podem ser parcelados em ate 30x sem juros e tentei efetiar uma compra usando parte do limite desse cartao e outro cartao tambem em meu nome e simplesmente nao aceita, pra que colocar a opc¸a~o apara compra em dois cartoes se nao funciona? Nao comprei o produto que estava com o´timo prec¸o na Black Friday e cancelei o carta~o Ponto frio, nunca mais compro nada numa empresa que nao cumprr com seu anunciado e por telefone tambem nao informam o porque^.</t>
  </si>
  <si>
    <t>Eu fiz uma compra de um iPhone 12 no dia 26/11/2021p, por volta das 12:30 pelo valor de 4999.00 reais, mas so´ por volta das 13:30 deu erro na aprovac¸a~o do pagamento via carta~o de cre´dito mas so´ fui notar isso as 17h, mas quando eu fui realizar o pagamento novamente, bem no momento de ir pro carta~o o prec¸o muda para 4999,00 reais.Obs:   Fui buscar atendimento no televenda a atendente na~o demonstrou interesse nenhum em esclarecer o ocorrido comigo .</t>
  </si>
  <si>
    <t>Comprei uma caixa de som para dar de presente ao meu filho no dia 12 / 11/ 2021 cuja a entrega seria no dia 16 / 11/2021 e disseram nao encontrar o enderec¸o dai mudaram a data para 25 /112021 e novamente nao entregaram sobre o enderec¸o que eles dizem nao encontrar tratasse de um enderec¸o comercial que funciona de domingo a dominngo de 7 as 22 horas e compro em varios site e nunca tive problema</t>
  </si>
  <si>
    <t>Anu´ncio no Google o produto esta´ por R$220,50 e ao clicar o produto abre como R$294. Trata-se de uma torneira gourmet com spray monocomando da marca Prizi.</t>
  </si>
  <si>
    <t>Ao procurar um determinado produto no google, nos anu´ncios aparece o da loja com um determinado valor e  ao entrar no site da mesma, o valor simplesmente muda (obviamente para mais). O anu´ncio te chama atenc¸a~o, te faz querer o produto e quando entra no site e´ bem mais caro do que o anunciado. Palhac¸ada.</t>
  </si>
  <si>
    <t>Fiz a compra do celular na Black Friday, foi debitado o valor e apo´s alguns minutos foi debitado o valor de 1,00 a mais no carta~o do meu marido. Isso e´ um absurdo, pois acharam que a gente na~o ia ver. 
Quero o estorno do 1,00 agora. 
Imagine quantos reais algue´m pegou. 
Chocada.</t>
  </si>
  <si>
    <t>Fui comprar um iphone 12 conforme vi´deo abaixo e o valor dele anunciado esta´ 4137,57 ao abrir o anuncio  ele induz vc a pagar 4699,00 e´ vendido e entregue por casas Bahia propagando enganosa quero comprar o celular com o valor do anuncio 
tenho vi´deo fazendo a compra irei pedir pro meu advogado entrar no procon</t>
  </si>
  <si>
    <t>Coloquei um foga~o no meu carrinho como na~o tinha  virado ainda o meu carta~o de cre´dito estava esperando, passou nem 3 dias aumentaram o foga~o,  enta~o decei no carrinho pra quando chegace a Black fraider,  pra voltar pro msm valor , e na~o voltou continuou o msm valor auto , ai´ eles colocam como se tivece abaixado o valor , sendo que aumentou</t>
  </si>
  <si>
    <t>Tomem cuidado e fujam das CASAS BAHIA eles tentam enganar voce^s colocando valores bem menores para chamar atenc¸a~o, com publicac¸o~es enganosas e anu´ncios capciosos, hoje 26/11/2021 nessa Black FRAUDE praticada pela CASAS BAHIA entrei em contato devido a um anuncio de um produto estar com "prec¸o baixo" falei com a vendedora Geovana por sinal mal educada que desligou o telefone na minha cara por que viu que jamais iria conseguir fechar negocio e vender o produto nas condic¸o~es estupidas que passou, depois de realizar o cadastro ela simplesmente falou que o produto na~o seria entregue com aquele prec¸o baixo anunciado e que so´ seria entregue pagando o dobro do valor, que as CASAS BAHIA na~o entregam no meu enderec¸o com o desconto que estava, so´ entregaria se PAGASSE O DOBRO, uma grande piada de pe´ssimo mal gosto ou seja eles fazem anu´ncios falsos para chamar atenc¸a~o, destacam o prec¸o com 45% de deconto ou mais pra chamar atenc¸a~o dos potenciais troxas que eles acham que conseguira~o fazer o cadastro e no final vem com esse PAPO FURADO de FUNDO DE QUINTAL acreditando que vai fechar negocio e conseguir ludibriar agente, anuncio falso com desconto alto pra tentar vender mais caro e bem mais caro algo IMPOSSIVEL deles conseguirem, por isso deixo essa denuncia publicamente e na~o adianta eles tirarem o site do ar por que eu tenho todas as telas printadas e essa atitude deles caracteriza basicamente propaganda enganosa e uma bela indenizac¸a~o processual pra pegar na~o so´ um produto e sim mais 70 deles inicialmente o que na~o dizer enta~o de outras graves caracterizac¸o~es que essas maldita postura ira´ gerar contra eles e isso serve para outras lojas tambe´m que por ventura praticarem essa politica visando prejudicar o comprador o qual na~o quer saber de detalhes e sim realmente fechar negocio com empresas licitas que realmente merecem respeito e na~o esse lixo de CASAS BAHIA. O atendimento e´ pe´ssimo, feito com ma´ vontade e ganancia ale´m da falta de educac¸a~o e respeito com a pessoa que tem interesse em algum produto anunciado isso pra fechar o pacote misera´vel das CASAS BAHIA. Pesquisem e fujam dessa joc¸a tenha, certeza que tem muitas outras lojas que realmente valem a pena e sa~o dignas de credibilidade e respeito por parte do consumidor.</t>
  </si>
  <si>
    <t>Pedi um pedido dia 17/11 e me deram um prazo de entrega ate´ o dia 25/11 . 
Ate´ agora na~o chegou,  e no app se encontra q o meu pedido ja´ foi entregue. Estou sem tv me ajuda ai´</t>
  </si>
  <si>
    <t>Comprei um Ar-Condicionado Split Philco PAC12000TFM11 Frio 220V  12.000 BTU/h
R$ 1.589,00 - 1 unidade - Co´digo do item: 1001294141 no dia 17/11/2021 a`s 11:49
. O produto foi instalado hoje, 26/11/2021 mas veio sem ga´s. Gostaria de saber se realmente o ar condicionado vem sem ga´s ou se vem para verificar sem existe algum vazamento.
O produto Ar-Condicionado Split Philco PAC12000TFM11 Frio 220V  12.000 BTU/h vem COM ou SEM ga´s ?</t>
  </si>
  <si>
    <t>Estou aqui para expressa uma indignac¸a~o em relac¸a~o ao site Extra.com.br . Pois bem, eles esta~o anunciando um produto, tablet samsung s6 lite, mas quando vou verificar o valor do frete atrave´s do CEP informam a seguinte mensagem Desculpe! No momento este produto na~o pode ser entregue na regia~o informada.Ate´ ai´ tudo bem, mas ao colocar CEP de outras regio~es a mesma mensagem reaparece, isto e´,  tambe´m na~o tem entrega disponi´vel,  todos marcam que na~o tem entrega disponi´vel para o Cep informado. Na~o consigo reclamar, pois na~o consigo fazer o pedido. Gostaria da resoluc¸a~o do problema, pore´m eu na~o consigo adicionar o produto aos meus pedidos, na~o aparece nem essa opc¸a~o para mim, simplesmente aparece que o produto na~o tem entrega disponi´vel para nenhum lugar. O mais interessante e´ que venho acompanhando o mesmo produto ha´ meses e nunca aconteceu esse problema, a coincide^ncia e´ ter acontecido no dia da Black Friday, ainda que o produto estivesse indisponi´vel entenderia, mas no site consta como disponi´vel ale´m de ter uma promoc¸a~o em cima do produto. Gostaria de entender isso.</t>
  </si>
  <si>
    <t>Fui realizar a compra de um Smartphone utilizando carta~o de credito e deu como na~o aprovado, ate´ ai tudo bem, apo´s isso o pedido ficou em ana´lise, eu na~o quero mais efetuar a compra desse produto, pode cancelar para mim? Nu´mero do pedido: 301356653</t>
  </si>
  <si>
    <t>Estou realizando a compra do iPhone 12 de 128 gb eu coloquei no carrinho o iPhone e um carregador o valor total da compra deu 5.122,90 , quando vou finalizar a compra aparece a mensagem em vermelho e na~o deixa finalizar ao ver o valor do celular o produto aumentou de valor , eu como cliente na~o tenho culpa , quero pagar o valor que se encontra em minha sacola de 4.979,00, como vai ser feito ? Quero realizar a compra no valor que se encontra em minha sacola !</t>
  </si>
  <si>
    <t>Comprei um hoje um iPhone 12 Apple 128GB Preto Tela de 6,1, Ca^mera Dupla de 12MP, iOS, PEDIDO DE NU´MERO: 301079551 no valor de R$ 4.999,00 na promoc¸a~o da black friday do Ponto Frio junto com o Tudo Azul em que seria possi´vel acumular 12 pontos Tudo Azul a cada R$ 1,00 para clientes do Clube Tudo Azul. Entrei no link corretamente, escolhi o produto onde aparecia a informac¸a~o de que teria 49.990 pontos que seriam acumulados na Tudo Azul. Apo´s dar seguimento na compra nas pro´ximas telas na~o aparece mais nenhuma informac¸a~o de acu´mulo de pontos. Finalizei a compra para ver se apareceria a opc¸a~o de acumular apo´s o pagamento ser efetuado, mas nada aconteceu. Fiquei a semana toda aguardando a promoc¸a~o da black friday justamente para acumular a pontuac¸a~o, poderia ter comprado mais barato em outros locais, mas aguardei e comprei no Ponto Frio justamente para acumular a pontuac¸a~o e na~o foi dada a opc¸a~o de Acumular pontos. Me senti lesada com a promessa de uma promoc¸a~o que na~o aconteceu.</t>
  </si>
  <si>
    <t>O site do Ponto Frio esta´ acumulando pontos na TudoAzul nessa BlackFriday. Os anu´ncios deveriam exibir um selo "TudoAzul" indicando que aquele produto acumula pontos na TudoAzul, e´ ao final, deveria mostrar um bota~o "acumular pontos". Escolhi um produto na pa´gina da promoc¸a~o e finalizei a compra. Na~o exibiu nada de acumular pontos. Cancelei a compra e agora aguardo o estorno antes do dia 27 para acumular esses pontos. Minha reclamac¸a~o: na~o ha´ em NENHUM PRODUTO da pa´gina pa´gina Ponto Frio esse selo TudoAzul. Parece ate´ uma enganac¸a~o essa promoc¸a~o do PontoFrio.</t>
  </si>
  <si>
    <t>Pesquisei um tablet em vario sites de comparac¸a~o de prec¸os e achei interessante o prec¸o do pontofrio.com so´ que quando fui fechar a compra a pontofrio.com informou que na~o tinha o produto. Voltei a pesquisar e continuou a aparecer as propagandas da pontofrio.com. foi decepcionante.</t>
  </si>
  <si>
    <t>Apareceu uma propaganda mas quando clica o produto e´ 9x mais caro. 
Absurdo isso e enganac¸a~o.</t>
  </si>
  <si>
    <t>Ahhhhhh a Black Friday... ta~o conhecida no mundo e uma complexidade de abuso ao consumidor no Brasil !
Estou ha´ 2 semanas analisando prec¸o de Ma´quinas de Lavar e cheguei a conclusa~o que compraria uma Lavadora de Roupas Electrolux Turbo 10.5 kg.
O prec¸o do Ponto frio estava em 1599,00 a semana toda.
Hoje, Black Friday, vejo que esta´ por R$ 1299,00, 110v, podendo pagar em 10x, sem juros e com frete gra´tis ! CHEGOU O DIA !
Coloquei no carrinho e fui finalizar minha compra. Por incri´vel que parec¸a - risos - a compra na~o foi efetuada.. Logo fui eu de novo, realizar a mesma compra, e pasmem, o produto estava R$ 1599,00 + FRETE de 70 reais - QUEM DIRIA - risos ao quadrado -.
Entrei em contato com o televendas, que na primeira vez desligou na minha cara. Pore´m na segunda foi possi´vel, na~o me deram nenhuma explicac¸a~o plausi´vel pela mudanc¸a do prec¸o, tampouco quanto a possibilidade de cumprir a oferta apresentada.
Depois, na~o sei por qual raza~o, o desconto voltou, so´ que so´ era para a ma´quina 220v. Ou seja, um show de horror !
Por uma ironia do destino, e ja´ sabendo de como funciona a Black Friday, consegui tirar um print de grande parte de toda essa falcatrua. Estou juntando na presente reclamac¸a~o, e ja´ pronto para apresentar ao procon.
E´ isso pessoal, pesquisem, questionem, fac¸am prevalecer o seu direito.</t>
  </si>
  <si>
    <t>Comprei dois celulares na Ponto Frio, na loja do shopping em Ribeira~o Preto, no dia 19/11/2021 com a promessa de entrega dia 24/11, hoje recebo um e-mail informando que vai chegar apenas no dia 3/12. Um absurdo prometer a entrega e na~o cumprir, preciso do celular para trabalho. Transportadora na~o tem telefone de contato, recebeu os dois celulares no dia 20/11.</t>
  </si>
  <si>
    <t>Realizei a compra de um iPhone 12 atrave´s da Black friday, aproveitei o valor e a  oportunidade do parcelamento em 24x, pois eu tenho o carta~o de cre´dito do Extra o que me possibilitava essa quantidade de vezes. 
Como fiz a compra por volta de meia noite do dia 26/11, no primeiro hora´rio liguei para o Itau´ para que pudessem liberar a compra, visto que o status havia ficado como pagamento em analise e como na~o tenho costume de fazer compras em valores altos, fiz esse processo para na~o correr o risco de algum cancelamento indevido. 
Realizei a compra atrave´s do carta~o online, ou seja, o me´todo mais seguro para compras realizadas via Internet e para minha surpresa e indignac¸a~o o PEDIDO CONSTA COMO CANCELADO. Fiz todo o processo, librei a compra junto com o Itau´ e simplesmente o Extra cancela meu pedido sem nenhuma justificativa. 
Ao entrar hoje no site, simplesmente o valor ja´ aumentou e ale´m de tudo sem opc¸a~o do parcelamento em 24x. Ou seja, provavelmente devido a quantidade de pedidos devido a Black friday me sinto lesada, pois agora na~o consigo o produto pelo mesmo valor que era oferecido e gostaria de uma justificativa do porque o meu pedido ter sido cancelado. 
Pec¸o um retorno e uma soluc¸a~o para o meu caso, visto que fiz tudo que eu deveria fazer e esse cancelamento na~o deveria ter acontecido.</t>
  </si>
  <si>
    <t>Eu ja´ havia comprado outros 2 ventiladores, e deu tudo certo colei copiei o pix envia a milha filha, ela pagou eu recebi pore´m o de hoje outros 2 ventiladores eu fiz a mesma coisa copiei colei e pedi para ela pagar para mim, ela pagou usando o PIXo produto foi cancelado e agora eu quero o dinheiro de volta, preciso usar meu dinheiro na black. Quero o dinheiro de volta com urge^ncia</t>
  </si>
  <si>
    <t>Comprei um iPhone se , e eles na~o entregaram , a transportadora deles ningue´m consegue contato , fiz o cancelamento esta~o me enrolando para fazer o estorno uma tremenda falta de respeito com o consumidor . 
Ja´ dei em entrada em processo , porque eles fizeram eu perder dias de trabalho esperando q eles fossem entregar conforme a atendente</t>
  </si>
  <si>
    <t>Desde o dia 13/11 as compras que fac¸o pelo site do Ponto Frio, com o pro´prio carta~o Itau Ponto Frio sa~o canceladas sem motivo justificado.  Ao ligar para 4003-8388, os atendentes dizem que na~o te^m acesso a`s informac¸o~es e "provavelmente foi o setor de seguranc¸a dos carto^es cancelou a compra".  Como pelo site estava difi´cil, tentei no Televendas, com o vendedor Henrique no dia 17/11 a`s 13:50h comprar um notebook em 29 vezes sem juros, ja´ que o produto permitia parcelar no carta~o Itau Ponto Frio em ate´ 30 vezes, perfazendo um total de R$ 16.999,00.  O vendedor Henrique perguntou se eu confirmava a compra nesses termos (29 vezes sem juros) e confirmei.  Solicito a gravac¸a~o do atendimento para confirmar o fato.  Para minha surpresa logo a seguir, ao confirmar a compra no meu carta~o havia uma compra de R$ 18.815,60 em 10 VEZES COM JUROS!  Ao observar as reclamac¸o~es neste canal, observo que seja uma pra´tica constante do setor de Televendas dessa empresa, e FAC¸O UM ALERTA A TODOS OS CONSUMIDORES DO PONTO FRIO, PRINCIPALMENTE DO TELEVENDAS, SOBRE O VALOR REAL COBRADO EM SUAS FATURAS !!!  FIQUEM ATENTOS !!!
Finalmente consegui comprar pelo site o notebook em 29 vezes sem juros pelo valor de R$ 16.999,00, o qual ja foi entregue, mas a despesa anterior de 18.815,60 continua em aberto no meu carta~o consumindo o meu limite de compras ate´ esta data (27/11/2021), mesmo tendo aberto uma reclamac¸a~o no SAC do Itaucard.
Pensei que tudo estivesse resolvido com relac¸a~o ao "setor de seguranc¸a do carta~o",  e tentei comprar 2 celulares, mas a situac¸a~o na~o parou por ai´.
Em RESUMO: de 17/11/2021 a 27/11/2021, foram 27 compras tentativas de compras e o resultado temos a seguir:
Pedido: 298092241 - Site.
Data: 13/11/2021 a`s 10:55 CANCELADO SEM MOTIVO JUSTIFICADO.
Pedido: 298437043 - Site.
Data: 16/11/2021 a`s 05:17 CANCELADO SEM MOTIVO JUSTIFICADO.
Pedido: 298437713 - Site.
Data: 16/11/2021 a`s 06:28 CANCELADO SEM MOTIVO JUSTIFICADO.
Pedido: 298610444 - Site.
Data: 16/11/2021 a`s 23:32 CANCELADO SEM MOTIVO JUSTIFICADO.
Pedido: 298612249 - Site.
Data: 16/11/2021 a`s 23:55 CANCELADO SEM MOTIVO JUSTIFICADO.
Pedido: 298793743 - TELEVENDAS !
Data: 17/11/2021 a`s 10:33 VALOR CONTRATADO: R$ 16.999,00 MAS FOI COBRADO R$ 18.815,60 - SEM ESTORNO DO VALOR - Reclamac¸a~o aberta no Itaucard Ponto Frio.
Pedido: 298864689 - Site.
Data: 17/11/2021 a`s 16:07 CANCELADO SEM MOTIVO JUSTIFICADO.
Pedido: 298869581 - Site.
Data: 17/11/2021 a`s 16:29 CANCELADO SEM MOTIVO JUSTIFICADO.
Pedido: 298878237 - Site.
Data: 17/11/2021 a`s 17:07 Entregue pelo valor real de R$ 16.990,00 em 29 vezes.
Pedido: 298949546 - Site.
Data: 18/11/2021 a`s 08:57 CANCELADO SEM MOTIVO JUSTIFICADO.
Pedido: 299766628 - Site.
Data: 21/11/2021 a`s 16:00 CANCELADO SEM MOTIVO JUSTIFICADO.
Pedido: 299867593 - Site.
Data: 22/11/2021 a`s 10:58 CANCELADO SEM MOTIVO JUSTIFICADO - SEM ESTORNO DO VALOR - Reclamac¸a~o aberta no Itaucard Ponto Frio.
Pedido: 299883210 - Site.
Data: 22/11/2021 a`s 11:54 CANCELADO SEM MOTIVO JUSTIFICADO.
Pedido: 299927134 - Site.
Data: 22/11/2021 a`s 14:31 CANCELADO SEM MOTIVO JUSTIFICADO.
Pedido: 299946062 - Site.
Data: 22/11/2021 a`s 15:33 CANCELADO SEM MOTIVO JUSTIFICADO.
Pedido: 299998030 - Site.
Data: 22/11/2021 a`s 18:29 CANCELADO SEM MOTIVO JUSTIFICADO.
Pedido: 300005468 - Site.
Data: 22/11/2021 a`s 18:58 CANCELADO SEM MOTIVO JUSTIFICADO.
Pedido: 300014036 - Site.
Data: 22/11/2021 a`s 19:36 CANCELADO SEM MOTIVO JUSTIFICADO.
Pedido: 300020844 - Site.
Data: 22/11/2021 a`s 20:06 CANCELADO SEM MOTIVO JUSTIFICADO - SEM ESTORNO DO VALOR - Reclamac¸a~o aberta no Itaucard Ponto Frio.
Pedido: 300064092 - Site.
Data: 23/11/2021 a`s 05:36 CANCELADO SEM MOTIVO JUSTIFICADO.
Pedido: 300136225 - Site.
Data: 23/11/2021 a`s 13:42 CANCELADO SEM MOTIVO JUSTIFICADO - SEM ESTORNO DO VALOR - Reclamac¸a~o aberta no Itaucard Ponto Frio.
Pedido: 300145314 - Site.
Data: 23/11/2021 a`s 14:20 CANCELADO SEM MOTIVO JUSTIFICADO.
Pedido: 300147110 - Site.
Data: 23/11/2021 a`s 14:27 CANCELADO SEM MOTIVO JUSTIFICADO.
Pedido: 300149036 - Site.
Data: 23/11/2021 a`s 14:35 CANCELADO SEM MOTIVO JUSTIFICADO.
Pedido: 300150075 - Site.
Data: 23/11/2021 a`s 14:39 CANCELADO SEM MOTIVO JUSTIFICADO.
Pedido: 300154028 - Site.
Data: 23/11/2021 a`s 14:54 CANCELADO SEM MOTIVO JUSTIFICADO.
Pedido: 300159501 - Site.
Data: 23/11/2021 a`s 15:15 Entregue a` transportadora, mas TAMBE´M CANCELADO SEM MOTIVO JUSTIFICADO.
Este u´ltimo, finalmente foi aprovado, mas apo´s eu abrir uma reclamac¸a~o no Itaucard Ponto Frio, com relac¸a~o aos R$ 18.815,60 cobrados indevidamente no meu carta~o, e por isso mesmo devem me devolver em dobro, pelo Art. 42 do Co´digo do Consumidor, o Ponto Frio resolveu cancelar tambe´m esta compra que ja´ estava em rota de entrega conforme os comprovantes em anexo.
Conclusa~o: 
Na~o me venham dizer novamente que foi coisa do "setor de seguranc¸a do carta~o", pois um setor como o tal que se preze, que venha barrar sucessivas tentativas de compras LEGI´TIMAS, esta´ atentando contra a pro´pria empresa, cerceando as vendas e promovendo uma verdadeira discriminac¸a~o de consumidores, a partir do injustificado cancelamento de compras sem nenhuma satisfac¸a~o. E o pior, descontando os valores do carta~o de cre´dito sem estorno, em alguns casos.  Isso eles na~o deixam de fazer. Esses fatos, por si so´ caracterizam abuso de poder econo^mico atrave´s do cancelamento unilateral de vendas sem motivo razoa´vel sem provas de alegac¸a~o de possi´veis fraudes, ja´ que outra compra foi realizada normalmente.  (Em anexo deixo o artigo do advogado especialista em Direito Tributa´rio Kristian Rodrigo Pscheidt no site e-Commerce Brasil em 2017 em colaborac¸a~o aos Jeistores (com jota mesmo) da empresa.
Na~o vou entrar no me´rito, nem julgar quem quer que seja, e por diversos motivos cada um tem a eficie^ncia e honestidade dos funciona´rios que merece, mas e´ lamenta´vel que uma empresa com a tradic¸a~o do Ponto Frio esteja passando por essa fase.  APENAS PEC¸O ENCARECIDAMENTE QUE MEU DIREITO DE CONSUMIDOR SEJA RESPEITADO.  APENAS.
Obrigado.
https://www.ecommercebrasil.com.br/artigos/como-agir-em-caso-de-cancelamento-da-compra-pelo-fornecedor-e-o-dano-moral/
Site e-Commerce Brasil.
Cancelamento da compra pelo fornecedor X dano moral
DECEMBER 21, 2017
por Kristian Rodrigo Pscheidt.
O come´rcio eletro^nico cresce de forma vertiginosa no Brasil. No ano de 2016, estima-se que o segmento faturou quase R$ 50 bilho~es, um crescimento de 8% em relac¸a~o ao ano anterior. Metade da populac¸a~o ja´ possui acesso a` internet, sendo que 20% destas ja´ aderiram a`s compras virtuais.
De outro lado, importante e´ destacar que se aplica ao segmento todas as diretrizes e princi´pios de protec¸a~o ao cliente previstos no Co´digo de Defesa do Consumidor. Pore´m, devido a`s peculiaridades do ambiente virtual, algumas caracteri´sticas i´mpares surgem no come´rcio eletro^nico.
Uma delas diz respeito ao cancelamento unilateral da compra por iniciativa do fornecedor, seja por indisponibilidade de estoque, erro de sistema, ou mesmo impossibilidade de entrega na reside^ncia do consumidor.
Suponhamos que o consumidor receba um panfleto anunciando que um produto estaria em promoc¸a~o em determinada loja e, chegando no estabelecimento, o produto ja´ teria se esgotado. Sabe-se que a oferta suficientemente precisa, veiculada por qualquer forma ou meio de comunicac¸a~o com relac¸a~o a produtos e servic¸os oferecidos ou apresentados, obriga o fornecedor (artigo 30 do Co´digo de Defesa do Consumidor) a cumprir a oferta.
Pore´m, a legislac¸a~o na~o pode obrigar o fornecedor a comercializar itens ale´m do seu estoque. Mitiga-se, com razoabilidade, o cumprimento compulso´rio previsto no artigo 35 do Co´digo de Defesa do Consumidor.
Agora, o ponto fundamental e´: este mesmo racioci´nio se aplica a`s compras realizas pela internet?
A resposta e´ positiva. Veja-se que a oferta no ambiente virtual parece possuir a peculiaridade de estar online, supostamente integrada com o nu´mero de itens disponi´veis para a venda, na~o podendo o fornecedor alegar a indisponibilidade.
No entanto, o come´rcio eletro^nico traz outros elementos que justificam a impossibilidade de finalizac¸a~o da compra. Por exemplo, a impossibilidade de entrega na reside^ncia do consumidor; ou ainda, um anu´ncio desvinculado ao sistema interno da empresa, divulgado em sites parceiros.
Perceba que o cumprimento compulso´rio da oferta, disposto no artigo 35 do Co´digo de Consumidor, exige uma negativa injustificada da venda, em ni´tido abuso do poder econo^mico.
Na~o pode penalizar o fornecedor de boa-fe´, que teve um motivo razoa´vel que o impede de cumprir a oferta.
Ai´ entra em destaque duas varia´veis importantes:
a) motivo razoa´vel
b) o o^nus de provar a alegac¸a~o.
E´ o^nus do fornecedor comprovar, de forma exaustiva, os motivos que o levaram a na~o honrar com o anu´ncio.
Preenchidos ambos os requisitos, na~o e´ cabi´vel qualquer indenizac¸a~o por dano moral ao consumidor, desde que o valor pago seja integralmente devolvido. Trata-se de mero aborrecimento, incapaz de presumir qualquer abalo a` esfera moral da pessoa.
O Poder Judicia´rio vem acolhendo essa noc¸a~o, como fez a Jui´za de Direito de Sa~o Joa~o de Meriti, Dra. Patri´cia Cogliatti de Carvalho, a julgar improcedente pretensa~o do consumidor, decidindo que uma vez que os valores foram estornados e quanto aos danos morais os fatos narrados pela parte autora configuram aborrecimentos que embora desagrada´veis, fazem parte do dissabor do cotidiano, os quais na~o se traduzem em danos de ordem moral.
No processo n 0010423-56.2017.8.19.0054, da Comarca de Sa~o Joa~o de Meriti/RJ, a MM. Jui´za, em data de 22/05/2017, reconheceu que para configurac¸a~o do dano moral e´ indispensa´vel exsurgir dos autos a violac¸a~o aos direitos da personalidade da vi´tima, como sua honra, imagem, privacidade ou bom nome, o que na~o se confirmou na ac¸a~o.
No caso, o consumidor teria adquirido na internet, em 17/02/2017, produtos esportivos no valor total de R$ 319,96. Contudo, os produtos na~o foram entregues uma vez que o enderec¸o na~o foi localizado, sendo enta~o os valores estornados no carta~o de cre´dito, automaticamente.</t>
  </si>
  <si>
    <t>Adquiri um produto junto a loja Ponto Frio, prec¸o maravilhoso, site incri´vel e de fa´cil acesso e localizac¸a~o de categoria, confirmac¸a~o de pagamento nem se fala, ultrapassou todas as minhas expectativas!! Foi show!! 
Pore´m, tenho algumas du´vidas e queria falar com atendentes via Whatsapp. O nego´cio e´ terri´vel, tu faz todo o filtro pro final falarem que infelizmente nao podem atender por ali, qual o sentido? enta~o na~o disponibilizem a opc¸a~o de falar com um atendente. A gente fica igual trouxa ali preenchendo filtro pra na~o conseguir as informac¸o~es</t>
  </si>
  <si>
    <t>Fui efetuar a compra de um notebook no site do extra e o pagamento era carta~o de cre´dito, apo´s alguns minutos recebi um email dizendo que a compra na~o foi efetivada devido o pagamento na~o ser aprovado, me enviaram um link para eu mudar o pagamento, ao concluir a mudanc¸a e abrir os pedidos estava constando que eu fiz o pedido de dois notebooks e agora nem a atendente consegue cancelar, isso foi erro deles !!!!</t>
  </si>
  <si>
    <t>Bom diaz fiz uma compra ontem a noite e hoje o prec¸o esta´ bem menor. Na~o queria cancelar a compra pois o processo de cancelamento e´ demorado e eu poderia perder a oferta. Tambe´m na~o posso pagar por outro carta~o pois o parcelamento do carta~o Extra e´ melhor. Gostaria de uma soluc¸a~o boa para todos, pois queria manter a compra.</t>
  </si>
  <si>
    <t>No dia 25/11 pesquisei sobre um produto que constava um valor, no dia seguinte 26/11 black friday fui procurar o mesmo produto e notei que o valor havia AUMENTADO. Tentei contato no chat aqui do reclame aqui com a loja mas na~o fui atendida. Segue os prints dos valores.</t>
  </si>
  <si>
    <t>Fui informado que receberia a nota fiscal por email e na~o recebi. Na~o consigo baixar a segunda via. Fiquei mais de 40 minutos aguardando atendimento e ainda assim, minha solicitac¸a~o foi considerada como desistente. 
Na~o consigo obter a nota fiscal de maneira alguma.</t>
  </si>
  <si>
    <t>Ola´, no momento em que fui fazer a compra atrave´s do meu carta~o de credito deu como na~o aprovado, tudo bem. Mas depois disso ficam mandando e-mail dizendo que esta sendo analisado, eu na~o quero mais efetuar o pagamento, podem cancelar para mim. Nu´mero do pedido 30131348.</t>
  </si>
  <si>
    <t>Eu comprei uma tv 32 polegadas da sansung pelo aplicativo da casas Bahia com a promessa que assim que fosse aprovado eu poderia retirar da loja no prazo de dua horas, comprei no carta~o de cre´dito, como estava demorando muito pra ser aprovada, liguei para o 0800 e me informaram que eu deveria aguardar 24 horas para ser aprovado a compra, achei um absurdo ter que esperar 24horas pra que a loja decidisse se quer ou na~o vender pra mim, decidi fazer o cancelamento a atendente Andreia foi muito atenciosa e fez o cancelamento e me tranquilizou dizendo que eles na~o iriam colocar o valor no carta~o, verifiquei na mesma hora e estava constando carta~o cancelado, pore´m 30 minutos depois recebi a mensagem retirando o valor da mercadoria do meu carta~o, liguei novamente e me informaram que eu tenho que esperar 7 sete dias u´teis para que a compra fosse estornada do meu carta~o. Quero o estorno imediato do meu carta~o ja´ que o cancelamento da compra foi feito antes de creditarem o valor da compra.</t>
  </si>
  <si>
    <t>Na semana passada eu estava acompahando o valor do arcondicionado e esperando a Black Friday para efetuar a compra. Na semana passada estava R$1.614,15 e hoje na Black Friday na~o somente na~o baixou como o valor subiu para R$ 2.199,00, conforme imagens em anexo. O site exibe a mensagem "Black Friday Casas Bahia - A Maior Black do Brasil". O correto deveria ser: "Black Friday Casas Bahia - O Maior aumento de prec¸os do Brasil"</t>
  </si>
  <si>
    <t>Fiz a compra de um celular dia 22/11 pela internet com a promessa de ser entregue em 2 dias ou seja dia 24/11! Acontece q hj na e´ dia 26/11 e´ minha mercadoria na~o saiu sequer do depo´sito! Pergunto o q fazer? Ir no procon e´ a soluc¸a~o, ja´ que estou sendo enganada?? Ja´ abri um protocolo e eles mandaram esperar 6 dias !! absurdo!!! Quem na~o tem compete^ncia que na~o se estabelec¸a!</t>
  </si>
  <si>
    <t>Fui ate´ a loja fi´sica das Casas Bahia em Sorocaba para comprar uma televisa~o 65 polegadas. Pedido: 299451983
Data: 19/11/2021 a`s 18:09.
A entrega prometida era dia 25/11/2021. 
A data foi adiada para 26/11/2021 e agora adiada novamente para 01/12/2021.
Lamenta´vel o tratamento que as Casas Bahia faz com o consumidor ignorando completamente os acordos. O produto fica na VVLOG de forma eterna e simplesmente NA~O ENTREGAM. Na~o recomendo a compra nas CASAS BAHIA, principalmente quando for em uma loja fi´sica e falarem que fara~o a compra ONLINE para voce^.</t>
  </si>
  <si>
    <t>Na data de 26/11/2021 realizei uma compra para dar de presente, pore´m a pessoa mudou-se e na~o me avisou, tentei alterar o enderec¸o de entrega, consegui alterar mas para envio do produto na~o alterou isso porque foi na mesma hora, resolvi cancelar o produto, mas o carta~o informado no site, que vou receber o estorno eu desconhec¸o. Realizei diversas tentativas naquele telefone, que informam que o atendimento e´ 24 e na~o fui atendida. Segue o nu´mero do pedido Pedido: 301703004
Data: 26/11/2021 a`s 22:54 e o nu´mero do pedido de cancelamento. Cancelado em
26/11/2021
Protocolo do cancelamento 211126-057597.Fico no aguardo para informa´-los  o nu´mero do carta~o correto, que eu conhec¸o para que seja estornado o valor. Esses canais sa~o vergonhosos e uma grande mentira, na~o atendem nem o telefone, muito menos aquele robo^ do whatsapp, que nunca entende o que precisamos. !!!!!!!!!!!!</t>
  </si>
  <si>
    <t>Bom dia, fiz uma compra a poucos minutos de uma Fritadeira sem o´leo Brita^nia Air Fryer de 4,4L Pro Saude e depois de confirmar o pagamento aparece que o produto e´ de 3,2L 
Gente que absurdo programar o app pra fazer esse tipo de propaganda enganosa, ja solicitei o cancelamento da mesma forma que cobrou em parcelas.</t>
  </si>
  <si>
    <t>Comprei no Black Friday do Extra dia 19/11/21 uma ma´quina de solda. Fiz o pagamento a vista 6 dias apo´s, e sem motivo cancelaram a compra.
Alegando problemas com a entrega. Informei que aguardava a entrega e disseram na~o ser possi´vel. 
Pore´m a empresa esta´ anunciando a mesna ma´quina novamente por um valor mais alto. 
O Extra esta´ com meu dinheiro eu sem a ma´quina.
Pedi reembolso estou no aguardo</t>
  </si>
  <si>
    <t>O frete fica mais alto quanto mais produtos voce^ coloca no carrinho, uma caixa de som tinha frete de 15,80 e entrega de 8 dias. DUAS caixas de som o frete sai a 31,60 e 12 dias de entrega. Ale´m do mais, ao finalizar a compra o valor de 2 caixas foi anexado ao valor de 2 fretes pore´m, na conta, so´ havia 1 frete. Falei no chat e na~o obtive resposta.</t>
  </si>
  <si>
    <t>Na madrugada de quinta 25 para sexta 26 de novembro. 
Fiz a compra de um conjunto de sala de jantar, onde finalizei no carta~o de cre´dito. 
Pore´m a mesma gerou duplicidade e enta~o fiz cancelamento de 1 das compras, onde foi me informado que o estorno demoraria cerca de 2 faturas do meu carta~o para cair. 
Caso que gerou repudia por minha parte, pois a culpa na~o foi minha e sim do site, onde gerou duplicidade de pedidos, e a mesma na~o quer gerar meu estorno, terei que arcar com a despesa duplicada, pra depois de 3 meses gerar meu estorno. 
Isso e´ um absurdo! 
Pedido cancelado nu´mero 300810694 
Protocolos de cancelamento 211126001336 
211126-001336
E ai´ ponto frio como vai ser? Quero meu estorno, porque quando foi pra voce^s receberem foi questa~o de minutos e agora vou ter que esperar meses??????</t>
  </si>
  <si>
    <t>Recebi um anuncio do Ponto no Facebook ofertando nesta Black Friday uma cadeira de escrito´rio ergono^mica por R$68,00. A intenc¸a~o era comprar 03 produtos. Pore´m, ao clicar na oferta o prec¸o que aparece e´ outro.
Solicito o cumprimento da oferta.</t>
  </si>
  <si>
    <t>Hoje aconteceu uma situac¸a~o muito chata, ao comprar a boneca baby Alive Pulo Feliz Loira, no site informa que a mesma esta´ disponi´vel pore´m ao ligar para a central de televendas eles informam que o parceiro na~o entrega esta´ boneca em minha regia~o e eu na~o posso ir ate´ uma loja Casas Bahia retirar. Fiquei super decepcionada pois falei para minha filha de 3 anos que ia comprar esta´ boneca e na~o consegui concluir a compra por problema de logi´stica entre a Casas Bahia e o fornecedor. A boneca esta´ na promoc¸a~o Black Friday e agora vou perder a promoc¸a~o por um problema interno. Super insatisfeita.</t>
  </si>
  <si>
    <t>Bom dia! Comprei um produto no site das casas bahia. a entrega esta´ agendada para 25/11/2021, acontece que na~o recebi o produto, ninguem me entregou, ninguem me ligou e se quer me deu algum retorno ou posic¸a~o da entrega do produto. Falei no whatsapp das casas bahia e me pediram um prazo de 6 dias uteis p analisar minha reclamac¸a~o, ou seja, na~o tem nenhum compromisso serio com o consumidor. nao aconselho ninguem a comprar nas casas bahia, sao muito enrolados e descompromissados com o consumidor. estou bem arrependido de ter comprado no site das casas bahia. sao pessimos p atender, descompromissados demais, nao aconselho ninguem a comprar e preciso resolver essa pendencia com urgencia, por isso estou regisstrando minha reclamac¸a~o aqui agora.</t>
  </si>
  <si>
    <t>No dia 24 de novembro efetuei um compra de uma maqui de lavar roupa no aplicativo do ponto frio. A loja oferecer um servic¸o de frete no valor de 16,17 para entregar no dia 25 de novembro. A entrega na~o foi realizado, na~o me deram um novo prazo quando entrei em contato para saber o porque^ na~o ter feito a entrag a. Solicitei o cancelamento da compra e fui informado que seria reembolsado 24hrs depois do cancelamento. O pagamento foi feito avista por meu do pix. Agora o ponto frio esta´ informando que tenho aguarda ate´ o dia 6 de dezembro. Um total absurdo sendo que paguei avista o produto na~o estava em deslocamento para entrega. Nu´mero do meu pedido 300296376</t>
  </si>
  <si>
    <t>Fiz o pedido 298573708 dia 16/11, e a previsa~o de entrega era para o dia 25/11.
Entrei em contato via Whatsapp com o atendimento da Casas Bahia, protocolo 211125-013318, pedindo informac¸o~es sobre a possibilidade de atraso pois, caso o produto realmente na~o fosse entregue na data eu na~o iria espera´-lo neste dia. A atendente disse que o produto seria sim entregue no dia, mas na~o foi, fazendo com que eu ficasse esperando sem necessidade.
Ale´m disso o servic¸o de rastreio esta´ desatualizado desde o dia 18/11(mais de uma semana), mas ao analisar a nota fiscal pelo site da SEFAZ e´ possi´vel notar a movimentac¸a~o do produto, enta~o o servic¸o de atualizac¸a~o da casas bahia muito ruim. Pe´ssima experie^ncia do cliente no po´s-venda.
De nada adianta um rebranding todo tecnolo´gico se o servic¸o online continua amador.</t>
  </si>
  <si>
    <t>Tenho um produto cuja data de entrega estava prevista para o dia 29 desse me^s, pore´m ontem (dia 26) foi feita uma tentativa de entrega em minha reside^ncia que obviamente foi falha pois eu na~o estava em casa. Na~o recebi nenhum email no dia 25 e sequer no dia 26 em si sobre uma atualizac¸a~o no rastreio do meu produto e, por isso, na~o fiquei a manha~ toda em casa, uma vez que no site a data prevista e´ dia 29 e na~o havia nenhum atualizac¸a~o. A transportadora e´ a VVLog, so´ soube da tentativa de entrega porque o entregador me ligou e so´ depois disso houve atualizac¸a~o do rastreio no site da Casas Bahia, entretanto, nada em meu email.
Segue em anexo prints do site da casas bahia e da transportadora. 
Voce^s deveria ser mais precisos com relac¸a~o a data e possi´vel peri´odo de entrega, ningue´m tem bola de cristal e pode ficar em casa o dia todo so´ esperando uma entrega.
Gostaria de saber quando realmente meu produto sera´ entregue e se possi´vel um possi´vel intervalo de hora´rio da entrega.
Obrigada.</t>
  </si>
  <si>
    <t>Fiz a compra na madrugada de ontem dia 26/11 e recebi um e-mail contendo as etapas do pedido a`s 2:04.
O e-mail esta´ ativo ate´ o presente momento na primeira etapa e como estranhei a demora da confirmac¸a~o do pagamento (que foi feito por carta~o) e entrei em contato aqui neste site com um atendente do Extra e o primeiro foi extremamente inu´til (na~o no sentido ofensivo) e me disse que o cre´dito seria estornado para mim em 5 dias u´teis
Pore´m como comprei em promoc¸a~o na~o tenho condic¸o~es de pagar o valor atual que esta´ muito acima
E isso foi um erro da empresa e na~o acho correto ter que pagar do meu bolso a mais por causa disso
Exijo com toda educac¸a~o que possam revolver meus problemas
Sou um cliente e isso faz parte de voce^s enta~o preciso ser respeitado pois necessito do produto.</t>
  </si>
  <si>
    <t>Recentemente fiz uma compra online utilizando o uma parte do vale compra que eu tinha mais pix. A cobranc¸a foi feita, mas a compra na~o consta no site nos meus pedidos, e ate´ hoje na~o recebi resposta nem o dinheiro ou o produto. 
Tentei tambe´m va´rias conversas atrave´s pelo chat do whatsapp de contato da loja, pore´m tambe´m sem sucesso, e termina a conversa sem nem iniciar.
Na~o quero vale compra, quero meu dinheiro de volta.</t>
  </si>
  <si>
    <t>Efetuei uma compra pelo site na data de hoje 26/11 e coloquei a opc¸a~o de retire em 2h, o pagamento foi feito no mesmo instante por pix, e ja´ estava tudo certo para ir retirar o produto, pq como ja´ tinha conseguido um carro, ok. Depois de um certo tempo, vendo que nao tive resposta, vi que o site mudou para retirar meu produto daqui 5 dias, somente na quarta feira!! Entrei em ctt, atendentes que desligavam toda hora na minha cara, pois enta~o pedi cancelamento e reembolso, e me informaram que isso demora 10 dias UTE´IS. Como fac¸o uma compra pelo site pedindo para retirar tal hora´rio e depois muda falando que so´ daqui a alguns dias???  mais legal, so´ podemos saber disso depois que a compra e´ efetuada, um baita descaso com os clientes, que deveriamos pelo menos ser avisados sobre isso. Agora estou aqui, com quase 3.000 de produto pago, que nao vou conseguir retirar pelo tempo que solicitei, depois pedi para mudar para enta~o entregar em minha reside^ncia pois depois nao vou conseguir ir retirar mais, e nem isso conseguem fazer. Casas Bahia nunca mais comprarei novamente, atendimento ZERO, suporte por telefone ZERO, e uma baita burocracia para pedir para mudar a forma de entrega, que tem que cancelar e depois refazer, como vou fazer com o dinheiro que foi pago na hora ??? 
Fui alertada mas mesmo assim decidi confiar, para realmente na~o acreditar oque esses sites falam!</t>
  </si>
  <si>
    <t>BOA TARDE PODE PARECER PIADA MAIS UMA GERENTE DA LOJA PONTO DE BANGU SE NEGOU A ME VENDER UM CELULAR    FUI ATE A LOJA CONEGO DE VASCONCELOS EM BANGU APROVEITAR AS OFERTAS BLACK FRIDAY AO CHEGAR NA LOJA FUI MUITO BEM RECEBIDA PELA ATENDENTE CARLA ARAUJO QUE ME OFETOU UM DESCONTO POREM EU SO ESTAVA COM CARTAO VIRTUAL A MESMA ME INFORMOU QUE NA LOJA SO PASSA O CARTAO INSERIDO OK ESTAVA NO MEU HORARIO DE ALMOC¸O PARA NAO PERDER A OFERTA FUI ATE A MINHA CASA BUSCAR O CARTAO GASTEI R$30,00 REAIS DE UBER PARA NA~O DEMORAR E NAO PERDER O CELULAR QUE EU TANTO DESAJAVA COMPRAR ATE MESMO POR QUE FUI INFORMADA QUE ERA A ULTIMA PEC¸A  ESSE FOI O MOTIVO DO MEU DESESPERO  AO RETORNAR A LOJA A ATENDENTE JA ME RECEBEU ME INFORMANDO QUE ESSE TELEFONE  ESTA RESERVADO PELA GERENTE E QUE INFELIZMENTE ELA NA~O AUTORIZOU A VENDA POREM O MESMO ESTA ALI NA MINHA FRENTE EU ESTAVA COM CARTAO NA MA~O E MEU PREJUIZO DE TER IDO EM CASA DE UBER E VONTADO ESSE TIPO DE CONDUTA E´ CORRETA ??? O WUE DEVO FAZER ??? A EMPRESA NA~O TEM AUVIDORIA O QUE E´ MAIS UMA PIADA ESTOU MEGA INSATISFENITA COM A EMPRESA SEM SOLUC¸A~O O CASO VOLTEI PARA CASA SEM O MEU PRODUTO COM MINHA INDIGUINAC¸A~O DE NAO TER AO MENOS O DIREITO DE REGISTRAR UMA RECLAMAC¸A~O NA EMPRESA DESSA GERENTE QUE DEVERIA COMPREENDER O CLIENTE E FAZ O CONTRARIO  IRRITA O CLIENTE E IMPEDI O CLIENTE DE COMPRAR COM O DINHEIRO EM MA~O LOJAS PONTO  ESSA GERENTE E´ UMA PIADA</t>
  </si>
  <si>
    <t>Comprei no site da Ponto Frio, uma Lavadora LG VC4 Lava e Seca de 13kg voltagem 110  de CODIGO 1500514739 e PEDIDO 297938947 valor de R$ 3.140,00. Apo´s emissa~o do boleto, liguei dia 12/11/2021 na central de vendas, falei com atendente .. sob Protocolo 2111112015817, que confirmou o pedido e como estava insegura na compra pela internet, o atendente me enviou o boleto no meu e -mail, zelando pela seguranc¸a. 
No mesmo dia, isto e´, dia 12/11/2021 as 13:21:12 fiz o pagamento a vista. No dia seguinte foi confirmado pagamento e datado prazo de entrega para dia 01/12/2021, conforme e-mail recebido.
Dia 16/11/2021 recebi no meu e -mail informativo, que meu pedido foi CANCELADO com sucesso. Liguei na central, falei com atendente Luana protocolo 211116036878, dia 16/11/2021 as 19:30h, a mesma me informou que meu pedido foi CANCELADO pela Ponto Frio, pois NAO POSSUI O PRODUTO, que eu PAGUEI dia 12/11/2021.
Atendente.. informou que a Ponto Frio disponibilizou o Vale compra, para eu substituir a lavadora por outro produto. ISSO QUE SE CHAMA ABUSO DO CONSUMIDOR..Pedi que abrisse uma reclamac¸a~o, informando que NAO ACEITO  a condic¸a~o IMPOSTA pela Ponto e quero o produto que comprei e paguei.
Ate hoje, dia 25/11/2021,  NINGUEM  fez contato comigo, NAO tive nenhum retorno da reclamac¸a~o que abri.. Continuo SEM a lavadora ..Total descaso.
Pela apare^ncia, vou precisar acionar na justic¸a de pequenas causas..</t>
  </si>
  <si>
    <t>Venho atrave´s desta contar minha histo´ria.
Fiz uma compra pelo site do extra.com no dia 18/11/2021 pedido nu´mero de 298793879 no valor de 4.299,00 parcelado no carta~o de cre´dito. Apo´s aprovado fui seguindo os status do dia entrega que seria dia 24/11/2021 para minha surpresa no dia 23/11/21  recebi um e-mail perguntando se estava satisfeita com minha compra que tinha sido entregue. so´ que na~o recebi nada a transportadora  protocolou finalizou minha entrega na~o recebi nada . reclame aqui me Ajuda por favor .</t>
  </si>
  <si>
    <t>HOJE, BLACK FRIDAY 26/11/2021 efetuei o pedido 300889709 301124887 de uma TV E UMA MALA . Aproveitei a promoc¸a~o que prometia conceder 15 pontos Tudo Azul para cada real gasto em produtos no site www.pontofrio.com.br/tudoazul para quem fizesse o pedido utilizando o carta~o Itaucard Tudo Azul. Segui todos os passos conforme mandava a promoc¸a~o (ja´ conhec¸o a sistema´tica pois ja´ aproveitei promoc¸o~es anteriores nos mesmos moldes). Ocorre que ao final do pedido, NA~O APARECEU  - Acumular Pontos". Entrei em contato por telefone 4003 11 41 a atendente pediu para aguardar. Verifiquem os prints das telas nos anexos.
Solicito que me seja confirmado pelo Ponto Frio se o acu´mulo de pontos foi registrado para esta compra ou na~o (15 pontos por real). Caso o registro na promoc¸a~o esteja OK, seguirei com os pedidos. Caso o registro na~o tenha sido (por falha no site do Ponto Frio), irei CANCELAR ANTES DOS 7 dias previstos no CDC alegando desiste^ncia.
Aguardo retorno antes de 7 dias da entrega do pedido.</t>
  </si>
  <si>
    <t>Fiz uma compra na terc¸a-feira de um ar condicionado da consul e ele chegou ate´ ra´pido. Mas o produto veio com defeito, ligo e ele faz barulho como se tivesse uma pec¸a solta dentro dele.</t>
  </si>
  <si>
    <t>No dia 16/11/2021 foi efetuado a compra de um produto e minutos depois solicitado o cancelamento. No site da empresa constava uma mensagem pedindo que aguardasse o contato do vendedor, e que o cancelamento estaria em ana´lise. Ja´ no dia 18/11/2021recebi o produto e ate´ a presente data encontra-se embalado conforme o recebimento. No dia 19/11/2021 entrei em contato com o chat da Casas Bahia solicitando uma resoluc¸a~o e sob o protocolo de n.: 211117-0011491, foi pleiteado que eu aguardasse o prazo de 04 dias u´teis para que o vendedor pudesse entrar em contato e assim procedermos com a devoluc¸a~o e o cancelamento. Este prazo venceu e novamente na data de 25/11/2021, entrei em contato com o mesmo chat e  foi me fornecido um outro nu´mero de protocolo (211123-020575) e novamente foi solicitado que aguardasse por mais 04 dias u´teis. A pergunta e´, ficarei eternamente aguardando estes 04 dias u´teis a cada novo contato? Fico desta forma aguardando um breve contato da empresa para a soluc¸a~o do meu problema.</t>
  </si>
  <si>
    <t>Comprei uma geladeira com entrega prevista para o dia 26/11. Paguei mais de 200 reais de frete, precisando com urge^ncia da geladeira pois a minha esta´ com defeito. Hoje fiquei o dia todo aguardando a geladeira, no final do dia recebo a mensagem de que o produto foi entregue, mas na~o recebi nada. Na~o consigo entrar em contato com o Pontofrio nem pelo whatsapp nem pelo telefone. E´ um absurdo na~o conseguir falar com a empresa e ficar sem o produto que preciso com muita urge^ncia. Comprei com o prec¸o de desconto devido a blackfriday e terei que cancelar a compra e comprar com o prec¸o normal devido a urge^ncia. Fiquei muito insatisfeita com o ponto frio e na~o realizarei mais compras nesse site.</t>
  </si>
  <si>
    <t>Passei o ano inteiro esperando as ofertas do peri´odo da Black Friday deste ano de 2021, no dia 21/11 realizei no app da Casa Bahia a compra de um desejado produto, com um bom prec¸o, fiz o pagamento via boleto banca´rio, pois tinha mais desconto, paguei via app no mesmo dia, sendo debitado somente no dia 22/11 "primeiro dia u´til", pagamento realizado com sucesso.
No entanto, no dia 25/11 o meu pedido foi cancelado sem nenhuma justificativa .
Desde enta~o tento por repetidas vezes falar com os atendentes da Casa Bahia via whatsapp mais fico por horas esperando o atendente e simplesmente encerram o atendimento.
Me sentindo enganada, pois o mesmo produto esta´ a venda no app da Casa Bahia hoje e´ esta~o custando mais que 2 vezes o valor que eu ja´ paguei.. dinheiro esse que esta´ com a Casa Bahia.
Me sinto lesada, pois acredito que o possi´vel motivo do cancelamento seja o na~o cumprimento da oferta.
A deficie^ncia no atendimento ao consumidor esta´ me deixando muito chateada.
Gostaria muito em receber o produto que comprei e paguei na oferta do site da Casa Bahia conforme determina o artigo 35 inciso I do Co´digo de Defesa do Consumidor.</t>
  </si>
  <si>
    <t>Entrei no site das casas bahia na data de 20/11/2021 e vi a promoc¸a~o de uma Ma´quina De Solda Inverter Boxer Flama 161 Bv 110V/220V  numero do pedido 299685598.
Valor R$ 374,64 .
Efetuei o pagamento atrave´s de boleto bancario. 
Na data de 25/11/2021 recebi no uma mensagem no aplicativo das casas bahia que o produto havia sido cancelado .
Entrei em contato pelo 4003-4336.
Atentende me disse que eu havia cancelado sendo que na~o fiz isso ela ainda tentou me questionar a ligac¸a~o caiu liguei novamente um outro atendente me atendeo e me explicou que o produto havia acabado e a empresa parceria deles havia avisado que na~o teria mais o produto.
Entrei no site das casas bahia e o produto ainda consta mas com quase o dobro do valor .
Ai eu me pergunto como fico agora o atende ne´ me falou que iria ficar com um credito falei nao quero credito quero meu produto ou me devolve o dinheiro .
Fica aqui minha reclamac¸a~o estava aguardando o produto que comprei e paguei mas infelizmente por falta de comunicac¸a~o dessa empresa na~o vou receber.</t>
  </si>
  <si>
    <t>As casas Bahia cancelaram um compra de uma ferramento para  uso na minha empresa sem minha autorizac¸a~o, ao ligar so telefone deles e pelo whattapp me informaram que o fornecedor do produto ficou sem estoque e sem previc¸a~o de reposic¸a~o, deixei de compra em outro site para compra com eles e agora estou precisando a ferramenta sem na~o estou querendo reembolso que o produto que comprei que por sinal receberam na hora por pix, aogra cancelaram e ainda estou me falando que vao vou qual o dia vai ser realizaro essa devoluc¸a~o, nao quero reenboldo quero que envio a mercadora compra vou siminar como manda a a lei do consulmido. 
Nu´mero do pedido 299714366
Data da compra 21/11/2021
Valor total R$ 451,37
Tipo de entrega Normal
conversar pelo whatapp
[09:17, 25/11/2021] Casas Bahia Atendimento: Carlos, seu produto ainda na~o foi repassado ao transportador. Assim que ele for repassado, voce^ sera´ notificado via e-mail e tambe´m recebera´ o co´digo de rastreio para acompanhar a entrega. 
Data Prometida de Entrega: 07/12/2021
[09:18, 25/11/2021] Cloud Monitoramento Priva: me informaram pelo telefone que o produtos nao esta mais em estoque na loja parceira
[09:18, 25/11/2021] Casas Bahia Atendimento: Deixa eu verificar em sistema, so´ um momento.
[09:22, 25/11/2021] Casas Bahia Atendimento: Carlos, verifiquei em sistema que realmente foi registrado que o produto ficou indisponi´vel em estoque: 
"23/11/2021 15:40 - Elo'undefined - Caros,  Nosso lojista teve um imprevisto com relac¸a~o ao estoque do produto e na~o temos previsa~o para a reposic¸a~o do item.  Por gentileza efetuar o cancelamento"
Pore´m, ontem, dia 25/11, foi aberto um chamado para que verifiquem se e´ possi´vel encaminhar um produto similar. O prazo ma´ximo que nosso time leva para entrar em contato com vc por e-mail ou telefone e´ de 04 dias u´teis. 
Voce^ deseja aguardar o retorno do setor responsa´vel confirmando se conseguira~o enviar um produto similar, ou prefere prosseguir com o cancelamento?
[09:24, 25/11/2021] Cloud Monitoramento Priva: Vou aguardar, na~o quero cancelar quero o produto
[09:26, 25/11/2021] Casas Bahia Atendimento: Ta´ bem.</t>
  </si>
  <si>
    <t>Fiz uma compra nos loja casas Bahia online de uma ma´quina de solda que estava pelo valor de 374,64 e foi tudo processado ate´ a etapa de separac¸a~o do pedido, foi cobrado do carta~o pois esse valor e´ a vista e 5 dias depois veio a mensagem que a compra foi cancela e o valor sera´ reembolsado em ate´ 2 faturas.
Quer dizer que eu na~o terei o produto que paguei pois vou ter que pagar o carta~o para na~o pagar juros e pedi uma compra em outra loja que estava um pouco mais caro pore´m me dava cupom de desconto ai´ como na loja casas Bahia era o melhor valor eu peguei para eles cancelar agora e eu ficar com todo o prejui´zo.</t>
  </si>
  <si>
    <t>Fiz uma compra no aplicativo das Casas Bahia da black Friday Pedido 300243411, pore´m eu na~o recebi na data combinada, e tb na~o tive nenhum retorno por parte da empresa. Minha esposa ficou o dia todo aguardando em casa, e agora?</t>
  </si>
  <si>
    <t>99</t>
  </si>
  <si>
    <t>98</t>
  </si>
  <si>
    <t>96</t>
  </si>
  <si>
    <t>70</t>
  </si>
  <si>
    <t>95</t>
  </si>
  <si>
    <t>85</t>
  </si>
  <si>
    <t>97</t>
  </si>
  <si>
    <t>56</t>
  </si>
  <si>
    <t>68</t>
  </si>
  <si>
    <t>66</t>
  </si>
  <si>
    <t>75</t>
  </si>
  <si>
    <t>61</t>
  </si>
  <si>
    <t>86</t>
  </si>
  <si>
    <t>51</t>
  </si>
  <si>
    <t>79</t>
  </si>
  <si>
    <t>88</t>
  </si>
  <si>
    <t>57</t>
  </si>
  <si>
    <t>94</t>
  </si>
  <si>
    <t>87</t>
  </si>
  <si>
    <t>89</t>
  </si>
  <si>
    <t>92</t>
  </si>
  <si>
    <t>58</t>
  </si>
  <si>
    <t>83</t>
  </si>
  <si>
    <t>90</t>
  </si>
  <si>
    <t>67</t>
  </si>
  <si>
    <t>72</t>
  </si>
  <si>
    <t>93</t>
  </si>
  <si>
    <t>64</t>
  </si>
  <si>
    <t>74</t>
  </si>
  <si>
    <t>76</t>
  </si>
  <si>
    <t>84</t>
  </si>
  <si>
    <t>82</t>
  </si>
  <si>
    <t>78</t>
  </si>
  <si>
    <t>91</t>
  </si>
  <si>
    <t>80</t>
  </si>
  <si>
    <t>63</t>
  </si>
  <si>
    <t>52</t>
  </si>
  <si>
    <t>54</t>
  </si>
  <si>
    <t>53</t>
  </si>
  <si>
    <t>55</t>
  </si>
  <si>
    <t>81</t>
  </si>
  <si>
    <t>69</t>
  </si>
  <si>
    <t>59</t>
  </si>
  <si>
    <t>60</t>
  </si>
  <si>
    <t>Quem</t>
  </si>
  <si>
    <t>COD</t>
  </si>
  <si>
    <t>ID</t>
  </si>
  <si>
    <t>Texto</t>
  </si>
  <si>
    <t>É Black?</t>
  </si>
  <si>
    <t>Alessandra</t>
  </si>
  <si>
    <t>NESTA DATA, 24/11/2021, POR VOLTA DAS 13:56HS, COMPARECERAM ATE´ A LOJA CASAS BAHIA, LOCALIZADA NA AVENIDA
AFONSO PENA, 217, CENTRO, UBERLANDIA/MG, O SR. ALGIMAR TEODORO DA SILVA ACOMPANHADO DO SEU FILHO, O SR.
JONATHAN TEODORO DA SILVA, OS QUAIS FICARAM INTERESSADOS EM UMA PROPAGANDA DO ESTABELECIMENTO QUE OFERTAVA UM
APARELHO TELEVISOR SMART TV SAMSUNG 70 POLEGADAS CRISTAL 4K AU7700 NO VALOR DE R$5.129,00.
O SR. ALGIMAR AINDA COMPROU UM APARELHO CELULAR MOTOROLA MOTO G10 PELO VALOR DE R$1.099,00, TOTALIZANDO A
COMPRA EM R$6.300,00.
O SR. ALGIMAR SOLICITOU DIVIDIR A COMPRA EM 10 VEZES NO SEU CARTA~O DE CREDITO OUROCARD PLATINUM VISA, CONTUDO,
A VENDEDORA JESSICA SULAMITA DISSE QUE SERIA MAIS VANTAJOSO FAZER UM CARTA~O DA LOJA, POIS PODERIAM DIVIDIR A
COMPRA EM 24 VEZES SEM JUROS.
O SR. ALGIMAR CONCORDOU, AUTORIZANDO O PROCESSO, LIBERANDO UM CREDITO NO VALOR DE R$4.890,00.
COMO O VALOR DO CREDITO NA~O COBRIA A COMPRA, O SR. ALGIMAR ENTA~O, OFERECEU PAGAR O APARELHO CELULAR A VISTA E
FINANCIAR SOMENTE A TELEVISA~O.
A VENDEDORA DISSE QUE MESMO ASSIM, NA~O DARIA O VALOR DA TELEVISA~O, SENDO SOLICITADO UM APORTE R$599,00, O QUAL
FOI FEITO PELO SR. ALGIMAR ATRAVE´S DO BRANCO BRADESCO.
EM SEGUIDA, A LOJA FEZ O ESTORNO DO VALOR DE R$599,00 ALEGANDO QUE NA~O TERIA COMO EFETUAR O PARCELAMENTO EM 24
VEZES, POIS, TERIAM QUE FAZER OUTRO APORTE NO VALOR DE R$700,00.
A VENDEDORA FEZ UMA SIMULAC¸A~O COM O NOVO APORTE DE R$700,00, CONTUDO, MESMO ASSIM, ALEGARAM QUE NA~O
CONSEGUIRAM PARCELAR O VALOR DA TELEVISA~O.
O SR. ALGIMAR ENTA~O, COMO NA~O FOI ATENDIDO PELA LOJA, SOLICITOU O CANCELAMENTO DO CARTA~O, O QUAL FOI NEGADO
PELO GERENTE, QUE DISSE QUE ELE MESMO DEVERIA SOLICITAR O CANCELAMENTO APO´S 15 DIAS.
O SR. ALGIMAR NA~O CONCORDOU E DISSE QUE QUERIA SEU CARTA~O CANCELADO, SENDO GERADO UM "UM TERMO DE CANCELAMENTO
DE CARTA~O POIS O CLIENTE DESISTIU DEVIDO O LIMITE NA~O ATENDE-LO".
O SR. ALGIMAR SOLICITOU O CONTRATO QUE ELE ASSINOU DA PROPOSTA DO CARTA~O, SENDO SETE FOLHAS ASSINADAS, TODAVIA,
O GERENTE SE NEGOU, RECORTOU DUAS ASSINATURAS E ENTREGOU PARA O SR. ALGIMAR E MANDOU FOTOS DAS DEMAIS FOLHAS
VIA WHATSAPP.
DIANTE DISTO FAC¸O A DEVIDA RECLAMAC¸A~O POIS FUI TRATADO DE FORMA DESELEGANTE PELO GERENTE QUE QUANDO CHAMADO POR ESTE RECLAMANTE PARA EXPLICAR O PORQUE DO FATO DE NA~O TER CONSEGUIDO EFETUAR A COMPRA APO´S PERMANECER NA LOJA PELO PERI´ODO DE 3 HORAS, ESTE FOI DESELEGANTE E QUESTIONADO O PORQUE DAQUELE TRATAMENTO ESTE SE MOSTROU NERVOSO E QUIS QUE O RECLAMANTE O AGREDISSE COM PALAVRAS O QUE NA~O FOI FEITO.aTE ESTA DATA TINHA UM ZELO POR ESTE ESTABELECIMENTO MAS PELA EMPRESA ADMITIR PESSOAS COMO ESTE GERENTE PARA TRATAR COM PESSOAS PERDE TODA CREDIBILIDADE.</t>
  </si>
  <si>
    <t>Blackfriday</t>
  </si>
  <si>
    <t>No dia 19/11/2021 fiz a compra de um smartphone no site da empresa CasasBahia. 
Depois do processo de aprovac¸a~o de pagamento do pedido N 299328341, o site CasasBahia da o prazo de entrega ate´ 25/11/2021.
A CasasBahia fez a terceirizac¸a~o a entrega pela Loggi.
Segundo a Loggi por uma mensagem no WhatsApp o entregador veio com o pedido ate o enderec¸o e fez a entrega, mas nem chamou e na casa tinha gente para receber o pedido. 
E simplesmente o entregador da Loggi deu o pedido como entregue no dia 24/11/2021 as 20:56h. 
Colocou o nome "Flavio." Para o recebedor do pedido e ningue´m aqui na casa recebeu o pedido.
Ate´ o momento estou tendo um prejui´zo de mais de mil reais e na~o estou tendo o retorno desejado para solucionar o caso.
Espero que resolva entre as empresas CasasBahia e Loggi a entrega do produto ou reembolso.
A Loggi na~o envia os dados e nem a assinatura do recebedor do produto.
Entrega o pedido a qualquer um sem identificac¸a~o e o consumidor que vai ficar no prejui´zo?
Espero a soluc¸a~o do caso.</t>
  </si>
  <si>
    <t>Boa tarde. 
Efetuei a compra de um produto(pedido 297479947) no dia 11/11/21, atrave´s do marketplace das Casas Bahia, cujo o produto e´ vendido pela loja Vills Parfum. A data de entrega do produto segundo informac¸o~es do aplicativo das Casas Bahia seria dia 17/11/21, pore´m o produto na~o foi entregue, enta~o realizei contato atrave´s do whatsapp no dia 18/11/21(protocolo 211118-000277) e fui informado que o retorno ocorreria em ate´ 4 dias u´teis o que na~o aconteceu. 
Tambe´m realizei contato dia 23/11 com a Vills Parfum deixei meu contato e na~o recebi retorno.</t>
  </si>
  <si>
    <t>19/11/2021 Efetuei uma compra de um celular LG k41 era um presente ! Na~o recebi o produto fiquei em casa o dia todo 26/11/2021 empatada de fazer meus compromissos liguei mais de 6x todos os atendimentos na~o resolveram minha solicitac¸a~o na~o sabiam passar informac¸o~es e nem o que houve nem o que a transportadora fez com o pedido nem quando vou receber ! Entrou indignada falta de respeito com o cliente vou colocar na justic¸a ! Ningue´m passa nem qual transportadora e´ e nem quando vou receber
In559237694ac 
211126018220
21126043052
211126043052
Alguns dos nu´meros de protocolo
To^ ta~o nervosa que minha ansiedade atacou por causa disso 
Quero meu produto ate´ amanha~ !</t>
  </si>
  <si>
    <t>Ao procurar um determinado produto no google, nos anu´ncios aparece o da loja com um determinado valor e ao entrar no site da mesma, o valor simplesmente muda (obviamente para mais). O anu´ncio te chama atenc¸a~o, te faz querer o produto e quando entra no site e´ bem mais caro do que o anunciado. Palhac¸ada.</t>
  </si>
  <si>
    <t>Comprei um Ar-Condicionado Split Philco PAC12000TFM11 Frio 220V 12.000 BTU/h
R$ 1.589,00 - 1 unidade - Co´digo do item: 1001294141 no dia 17/11/2021 a`s 11:49
. O produto foi instalado hoje, 26/11/2021 mas veio sem ga´s. Gostaria de saber se realmente o ar condicionado vem sem ga´s ou se vem para verificar sem existe algum vazamento.
O produto Ar-Condicionado Split Philco PAC12000TFM11 Frio 220V 12.000 BTU/h vem COM ou SEM ga´s ?</t>
  </si>
  <si>
    <t>Efetuei uma compra pelo site na data de hoje 26/11 e coloquei a opc¸a~o de retire em 2h, o pagamento foi feito no mesmo instante por pix, e ja´ estava tudo certo para ir retirar o produto, pq como ja´ tinha conseguido um carro, ok. Depois de um certo tempo, vendo que nao tive resposta, vi que o site mudou para retirar meu produto daqui 5 dias, somente na quarta feira!! Entrei em ctt, atendentes que desligavam toda hora na minha cara, pois enta~o pedi cancelamento e reembolso, e me informaram que isso demora 10 dias UTE´IS. Como fac¸o uma compra pelo site pedindo para retirar tal hora´rio e depois muda falando que so´ daqui a alguns dias??? mais legal, so´ podemos saber disso depois que a compra e´ efetuada, um baita descaso com os clientes, que deveriamos pelo menos ser avisados sobre isso. Agora estou aqui, com quase 3.000 de produto pago, que nao vou conseguir retirar pelo tempo que solicitei, depois pedi para mudar para enta~o entregar em minha reside^ncia pois depois nao vou conseguir ir retirar mais, e nem isso conseguem fazer. Casas Bahia nunca mais comprarei novamente, atendimento ZERO, suporte por telefone ZERO, e uma baita burocracia para pedir para mudar a forma de entrega, que tem que cancelar e depois refazer, como vou fazer com o dinheiro que foi pago na hora ??? 
Fui alertada mas mesmo assim decidi confiar, para realmente na~o acreditar oque esses sites falam!</t>
  </si>
  <si>
    <t>No dia 16/11/2021 foi efetuado a compra de um produto e minutos depois solicitado o cancelamento. No site da empresa constava uma mensagem pedindo que aguardasse o contato do vendedor, e que o cancelamento estaria em ana´lise. Ja´ no dia 18/11/2021recebi o produto e ate´ a presente data encontra-se embalado conforme o recebimento. No dia 19/11/2021 entrei em contato com o chat da Casas Bahia solicitando uma resoluc¸a~o e sob o protocolo de n.: 211117-0011491, foi pleiteado que eu aguardasse o prazo de 04 dias u´teis para que o vendedor pudesse entrar em contato e assim procedermos com a devoluc¸a~o e o cancelamento. Este prazo venceu e novamente na data de 25/11/2021, entrei em contato com o mesmo chat e foi me fornecido um outro nu´mero de protocolo (211123-020575) e novamente foi solicitado que aguardasse por mais 04 dias u´teis. A pergunta e´, ficarei eternamente aguardando estes 04 dias u´teis a cada novo contato? Fico desta forma aguardando um breve contato da empresa para a soluc¸a~o do meu problema.</t>
  </si>
  <si>
    <t>Denize</t>
  </si>
  <si>
    <t>Entrei no app da loja. Ponto frio la´ estava um carta~o pre´ aprovado pra mim. 
Preenchi a proposta. E me negaram se ta´ pre aprovado com limite por que na~o cumprir com o que anu´ncia no app da loja quero que a loja cumprindo que me oferece no app.</t>
  </si>
  <si>
    <t>A Casa Bahia e seus parceiros, vendem o produto, mas na~o entrega. Comprei uma maquina de solda, no dia 20/11/2021, e o pagamento foi aprovado no mesmo dia, no meu carta~o de credito. No dia 25/11/2021, sem qualquer justificativa cancelaram o minha compra. Agora a minha fatura ja´ fechou, vou ter que pagar um produto que na~o recebi, produto esse que estou precisando com urge^ncia.
Gostaria que a Casas Bahia, justificasse esse cancelamento, pois esta parecendo que vendem produto que na~o existe, coloca um prec¸o baixo, fazem propaganda em cima e depois deixa os clientes na ma~o.</t>
  </si>
  <si>
    <t>Fui enganado pelas Casas Bahia. Comprei uma fritadeira na Livelo com 31800 pontos no Antecipa Black Friday.. Depois as Casas Bahia me mandaram um email dizendo que nao tinha mais em estoque e me enganando e induzindo ao erro de pedir os pontos de volta. 
Depois vi que tinham estoque, mas que estavam vendendo a 38720 pontos. me senti vitima de um ESTELIONATO.. 
Tentei resolver pelo Site/Chat.. e eles DESLIGARAM NA MINHA CARA.. 
Vejam a conversa:
Rafael: Oi, meu nome e´ Rafael. Em que posso ajuda´-lo?
rafael: Boa tarde
marcos nader: boa tarde. comprei uma fritadeira pela Livelo na promocao de antecipa black friday e recebi a seguinte mensagem:
marcos nader:
Prezado cliente, referente ao pedido 299422184 , informamos que infelizmente na~o temos o produto em estoque, sendo assim
temos algumas opc¸o~es de atendimento:
- Cancelamento da compra por vale;
- Cancelamento da compra de acordo com a forma de pagamento;
Pedimos desculpas pelo transtorno causado, estamos a` disposic¸a~o para mais esclarecimentos.
Por favor, responda este e-mail ou ligue para a nossa Central de Atendimento para que possamos dar andamento ao seu pedido.
Em caso de du´vidas, na~o deixe de entrar em contato com a gente atrave´s da nossa Central de atendimento.
(11) 4003-4336
De segunda a sexta, das 8h a`s 20h, aos sa´bados das 8h a`s 18h
Atenciosamente,
marcos nader: acontece que voces tem o produto a venda no site por um preco superior. entao estou me sentindo enganado!!
marcos nader: um absurdo total
rafael: Voce^ poderia confirmar o nu´mero do CPF do titular da compra, um e-mail e ate´ 2 telefones, por gentileza?
marcos nader: ja digitei no formulario
rafael: Eu na~o consigo visualizar
marcos nader: xXXXX
marcos nader: XXX
marcos nader: xxx
marcos nader: eu quero o meu produto como eu comprei
rafael: Aguarde um momento
rafael: Foi realizado a cancelamento em sistema no dia 25/11/2021 e o valores foram devolvidos para a forma de pagamento utilizado para a compra e uma vez cancelado na~o tem como reverter em sistema
marcos nader: eu nao aceito.. voces me induziram ao erro mentindo que nao tinha em estoque..
marcos nader: o maior absurdo.
rafael: Hoje o valor esta´ mais barato https://www.casasbahia.com.br/Eletroportateis/Fritadeiras/fritadeira-air-fry-philco-oven-pfr2200p-12l-preta-55020321.html
marcos nader: nao esta porque eu paguei com pontos da livelo.
rafael: O valor esta´ 699,00
marcos nader: esta 38000 pontos eu eu paguei 31000 na "promocao" fake
marcos nader: https://www.livelo.com.br/fritadeira-air-fry-philco-oven-pfr2200p-12l-preta/produto/LVL29353934
marcos nader: e agora ????
marcos nader: devem estar enganando todo mundo na black de hoje. vou postar a reclamacao..para outros nao serem enganados.
rafael: Infelizmente uma vez cancelado na~o tem como reverter em sistema. Foi passada as informac¸o~es referente ao seu pedido. Encerro o contato.
rafael desconectou-se.</t>
  </si>
  <si>
    <t>MINHA MAE EFETUOU UMA COMPRA NO CREDIARIO NA FILIAL 080 PONTO FRIO CALCADAO DE BANGU GERENTE RENATA E COODENADORA DE FILIAL ELISABETE. MINHA MAE FEZ ESSA COMPRA E POR NAO SABER LER E ESCREVER ELA ASSINA COM A DIGITAL,E ELA ASSINOU JUNTO FOI UMA GARANTIA ESTENDIDA E UM SEGURO JUNTO NUM TOTAL DE 1086,00. A MAIS NA COMPRA DELA. LEVEI A INHA MAE ATE A LOJA E A GERENTE NEM SE QUER APARECEU,JA A COORDENADORA DE FILIAL DISSE QUE NAO TINHA SISTEMA E NAO IRIA CANCELAR. PERGUNTEI A ELA SE TERIA SISTEMA PRA VENDA MAS PRA CANCELAR NAO,ELA RIU COM DEBOCHE E DISSE VOLTA DEPOIS DE 7 DIAS! OU SEJA,VOLTE DEPOIS DE NAO TER MAIS DIREITO DE CANCELAR NADA!
EU DISSE A ELA QUE ISSO ERA CRIME E ELA IGNOROU.RESUMINDO,MINHA MAE VAI PAGAR A MAIS QUERO CANCELAR E NAO SABEMOS O QUE FAZER</t>
  </si>
  <si>
    <t>Coloquei um foga~o no meu carrinho como na~o tinha virado ainda o meu carta~o de cre´dito estava esperando, passou nem 3 dias aumentaram o foga~o, enta~o decei no carrinho pra quando chegace a Black fraider, pra voltar pro msm valor , e na~o voltou continuou o msm valor auto , ai´ eles colocam como se tivece abaixado o valor , sendo que aumentou</t>
  </si>
  <si>
    <t>Realizei a compra de um iPhone 12 atrave´s da Black friday, aproveitei o valor e a oportunidade do parcelamento em 24x, pois eu tenho o carta~o de cre´dito do Extra o que me possibilitava essa quantidade de vezes. 
Como fiz a compra por volta de meia noite do dia 26/11, no primeiro hora´rio liguei para o Itau´ para que pudessem liberar a compra, visto que o status havia ficado como pagamento em analise e como na~o tenho costume de fazer compras em valores altos, fiz esse processo para na~o correr o risco de algum cancelamento indevido. 
Realizei a compra atrave´s do carta~o online, ou seja, o me´todo mais seguro para compras realizadas via Internet e para minha surpresa e indignac¸a~o o PEDIDO CONSTA COMO CANCELADO. Fiz todo o processo, librei a compra junto com o Itau´ e simplesmente o Extra cancela meu pedido sem nenhuma justificativa. 
Ao entrar hoje no site, simplesmente o valor ja´ aumentou e ale´m de tudo sem opc¸a~o do parcelamento em 24x. Ou seja, provavelmente devido a quantidade de pedidos devido a Black friday me sinto lesada, pois agora na~o consigo o produto pelo mesmo valor que era oferecido e gostaria de uma justificativa do porque o meu pedido ter sido cancelado. 
Pec¸o um retorno e uma soluc¸a~o para o meu caso, visto que fiz tudo que eu deveria fazer e esse cancelamento na~o deveria ter acontecido.</t>
  </si>
  <si>
    <t>Venho atrave´s desta contar minha histo´ria.
Fiz uma compra pelo site do extra.com no dia 18/11/2021 pedido nu´mero de 298793879 no valor de 4.299,00 parcelado no carta~o de cre´dito. Apo´s aprovado fui seguindo os status do dia entrega que seria dia 24/11/2021 para minha surpresa no dia 23/11/21 recebi um e-mail perguntando se estava satisfeita com minha compra que tinha sido entregue. so´ que na~o recebi nada a transportadora protocolou finalizou minha entrega na~o recebi nada . reclame aqui me Ajuda por favor .</t>
  </si>
  <si>
    <t>Entrei no site das casas bahia na data de 20/11/2021 e vi a promoc¸a~o de uma Ma´quina De Solda Inverter Boxer Flama 161 Bv 110V/220V numero do pedido 299685598.
Valor R$ 374,64 .
Efetuei o pagamento atrave´s de boleto bancario. 
Na data de 25/11/2021 recebi no uma mensagem no aplicativo das casas bahia que o produto havia sido cancelado .
Entrei em contato pelo 4003-4336.
Atentende me disse que eu havia cancelado sendo que na~o fiz isso ela ainda tentou me questionar a ligac¸a~o caiu liguei novamente um outro atendente me atendeo e me explicou que o produto havia acabado e a empresa parceria deles havia avisado que na~o teria mais o produto.
Entrei no site das casas bahia e o produto ainda consta mas com quase o dobro do valor .
Ai eu me pergunto como fico agora o atende ne´ me falou que iria ficar com um credito falei nao quero credito quero meu produto ou me devolve o dinheiro .
Fica aqui minha reclamac¸a~o estava aguardando o produto que comprei e paguei mas infelizmente por falta de comunicac¸a~o dessa empresa na~o vou receber.</t>
  </si>
  <si>
    <t>Larissa</t>
  </si>
  <si>
    <t>Essas sa~o as Informac¸o~es da entrega pela transportadora que nunca chegou ate a minha casa 
Notas Fiscais:
6899954/0
Nro. Pedidos:
22258506600
terc¸a-feira, 23 de novembro
15:02Envio de cancelamento para devoluc¸a~o
15:01Cancelamento de solicitac¸a~o
09:55Insucesso na entrega/coleta
09:54Insucesso na entrega/coleta
segunda-feira, 22 de novembro
17:00Entrega realizada
sa´bado, 20 de novembro
20:27Insucesso na entrega/coleta
20:27Insucesso na entrega/coleta
CARGO BR 1500
09:33Motorista em rota para entrega/coleta
CARGO BR 1500
sexta-feira, 19 de novembro
20:25Insucesso na entrega/coleta
20:25Entrega na~o realizada
CARGO BR 1500
09:25Motorista em rota para entrega/coleta
CARGO BR 1500
06:24Transfere^ncia entre unidades da transportadora conclui´da
CARGO BR 1500
06:15Volumes em transfere^ncia entre as unidades
Sa~o Bernardo do Campo, SP (0005)
00:54Transfere^ncia entre unidades da transportadora conclui´da
Sa~o Bernardo do Campo, SP (0005)
quinta-feira, 18 de novembro
00:00Volumes em transfere^ncia entre as unidades
Duque de Caxias, RJ (0010)
quarta-feira, 17 de novembro
09:50Volumes recebidos pela transportadora para entrega
Duque de Caxias, RJ (0010)
02:43Solicitac¸a~o recebida pelo transportador
Smartphone LG K41S Preto 32GB, RAM de 3GB, Tela de 6,55" V- Notch HD+ 20:9, Intelige^ncia Artificial, Ca^mera Qua´drupla e Processador Octa-Core 2.0
R$ 649,00 - 1 unidade - Co´digo do item: 55006747
Informac¸o~es do produto:
Sem especificac¸a~o
Foto do produto em tamanho pequeno
Smartphone LG K41S Preto 32GB, RAM de 3GB, Tela de 6,55" V- Notch HD+ 20:9, Intelige^ncia Artificial, Ca^mera Qua´drupla e Processador Octa-Core 2.0
R$ 649,00 - 1 unidade - Co´digo do item: 55006747
*Conforme o pedido na~o chegou na data combinada eu fiz o cancelamento de um dos itens e o outro na~o entregaram reclamei com a casas Bahia porem ainda na~o me deram retorno (211121005152) este e o protocolo de atendimento</t>
  </si>
  <si>
    <t>Foram gerados 12 boletos no valor de R$ 178,93 no dia de hoje (25-11-2021) com vencimento do primeiro no dia 24-12-2021, fiquei sabendo dos boletos atraves do banco santander que tem um servic¸o de dda que informa qualquer boleto gerado no 
meu CPF imediatamente. Segundo o que consta no boleto a compra esta´ lanc¸ada com o meu nome e meu CPF com enderec¸o Rua Samuel Klein, 83 LOJA MATR , cep
09510-125 , na cidade de Sa~o Caetano do Sul em Sa~o Paulo. Pore´m eu moro na cidade de Santos Dumont , MG, e neste dia estou na minha cidade , e eu nunca fui
em Sa~o Caetano do Sul. Reclamei atraves do chat pelo ReclameAqui e disseram para mim que eu teria que ir a loja fisica para resolver o problema. Se foi realizado alguma compra nesta loja foi de forma fraudulenta. Quero que cancelem os boletos.E na~o consegui falar com nenhum dos telefones de reclamac¸a~o , quando chega no atendente a ligac¸a~o e´ interrompida.</t>
  </si>
  <si>
    <t>Comprei um relo´gio feminino na semana das ofertas black-fraude das Casas Bahia, o pagamento foi aprovado, mandei e-mail para saber o motivo da demora no envio, mas ningue´m entrou em contato. 
Hoje, fui olhar e o pedido foi cancelado!!! O valor do relo´gio foi R$.2,00, contudo foi comprado na semana da black-fraude e o pro´prio site que fica mandando "ofertas imperdi´veis", a esto´ria do quer pagar quanto na~o funciona nem com os produtos anunciados!!! 
Tiago 
Obs. Estou sem celular, respondo so´ pelo e-mail!!!</t>
  </si>
  <si>
    <t>Estou registrando aqui a minha segunda reclamac¸a~o no Reclame Aqui! Ale´m de inu´meros protocolos de ligac¸o~es, chat do reclame aqui e WhatsApp das Casas Bahia.. Fiz um pedido dia 13/11, totalizando R$ 8.520,70, em dois carto~es. R$ 7.080,00 em um e R$ 1.440,70 em outro. No mesmo dia foram aprovadas pelos 2 carto~es e fui notificada pelos 2. Pore´m, nunca atualizava no site.. Nenhum atendente soube resolver meu problema, so´ registravam reclamac¸a~o e NADA! Liguei para a empresa do carta~o onde passei R$1.440,70 e eles informaram que dia 20/11 as Casas Bahia fizeram o estorno do valor, sem ao menos uma explicac¸a~o. (Antes ja´ constava na fatura e ja´ havia sido descontado do limite do carta~o, segue em anexo). Pore´m, na~o fizeram estorno algum do valor do outro carta~o de R$7080,00. Depois de muita insiste^ncia e reclamac¸a~o, hoje, dia 24/11, tive uma resposta, disseram que o pagamento na~o foi autorizado! SENDO QUE MEU VALOR DE R$7080,00 NA~O FOI ESTORNADO E O DE R$1440,70 A PRO´PRIA CASAS BAHIA ESTORNOU SEM MOTIVO! Na~o foi um problema do carta~o, tanto que ja´ estava constando na fatura dos 2!!!!! Ai quando tento fazer um novo pagamento, so´ tenho a opc¸a~o de fazer o pagamento dos R$8.520,70 inteiro! Sendo que na~o estornaram os R$7080,00, na~o consigo pagar a diferenc¸a somente!!!! Na~o quero que cancelem meu pedido, por erro DE VOCE^S MESMO! Fiz o cashback da Me´luiz nas Casas Bahia de 15%, cancelando meu pedido, irei perder. Parece que e´ uma total enganac¸a~o, que so´ fizeram com que meu pedido desse problema para na~o me darem meu cashback. Caso na~o resolvam o meu problema ou cancelem o meu pedido contra a` minha vontade, irei correr atra´s dos meus direitos! Estou extremamente irritada e decepcionada com as Casas Bahia! NINGUE´M RESOLVE NADA! NEM MESMO NO CHAT AQUI DO RECLAME AQUI! 
Nu´mero do pedido 298064950
RESOLVAM O MEU PROBLEMA! JA´ ESTOU AGUARDANDO HA´ 11 DIAS PARA A RESOLUC¸A~O, JUNTAMENTE COM TODOS OS PROTOCOLOS SALVOS, INCLUSIVE DO BANCO, ONDE ME INFORMARAM QUE VOCE^S ESTORNARAM SEM MOTIVO!!!!!</t>
  </si>
  <si>
    <t>Comprei uma inversora de solda Boxer flama 161bv no site 20/11, esperei a Black Friday para encontra o melhor prec¸o e ja´ estava na espectativa da chegada do produto que no site dizia que chegaria ate´ o dia 30/11 mais sem nenhuma explicac¸a~o cancelaram meu pedido 299696652. Falei no atendente pelo whatsapp e ele disse que teve um problema no estoque. Acho engrac¸ado que esperam 5 dias para verificar isso. So´ que agora na~o consigo comprar o mesmo produto com este valor,me disseram que iriam estonar o valor ate´ o dia 06/12, so´ que eu queria o produto . Pois eles colocaram um prec¸o de Black Friday no site e depois dizem que na~o tem no estoque.</t>
  </si>
  <si>
    <t>Fui comprar um iphone 12 conforme vi´deo abaixo e o valor dele anunciado esta´ 4137,57 ao abrir o anuncio ele induz vc a pagar 4699,00 e´ vendido e entregue por casas Bahia propagando enganosa quero comprar o celular com o valor do anuncio 
tenho vi´deo fazendo a compra irei pedir pro meu advogado entrar no procon</t>
  </si>
  <si>
    <t>Comprei no site da Ponto Frio, uma Lavadora LG VC4 Lava e Seca de 13kg voltagem 110 de CODIGO 1500514739 e PEDIDO 297938947 valor de R$ 3.140,00. Apo´s emissa~o do boleto, liguei dia 12/11/2021 na central de vendas, falei com atendente .. sob Protocolo 2111112015817, que confirmou o pedido e como estava insegura na compra pela internet, o atendente me enviou o boleto no meu e -mail, zelando pela seguranc¸a. 
No mesmo dia, isto e´, dia 12/11/2021 as 13:21:12 fiz o pagamento a vista. No dia seguinte foi confirmado pagamento e datado prazo de entrega para dia 01/12/2021, conforme e-mail recebido.
Dia 16/11/2021 recebi no meu e -mail informativo, que meu pedido foi CANCELADO com sucesso. Liguei na central, falei com atendente Luana protocolo 211116036878, dia 16/11/2021 as 19:30h, a mesma me informou que meu pedido foi CANCELADO pela Ponto Frio, pois NAO POSSUI O PRODUTO, que eu PAGUEI dia 12/11/2021.
Atendente.. informou que a Ponto Frio disponibilizou o Vale compra, para eu substituir a lavadora por outro produto. ISSO QUE SE CHAMA ABUSO DO CONSUMIDOR..Pedi que abrisse uma reclamac¸a~o, informando que NAO ACEITO a condic¸a~o IMPOSTA pela Ponto e quero o produto que comprei e paguei.
Ate hoje, dia 25/11/2021, NINGUEM fez contato comigo, NAO tive nenhum retorno da reclamac¸a~o que abri.. Continuo SEM a lavadora ..Total descaso.
Pela apare^ncia, vou precisar acionar na justic¸a de pequenas causas..</t>
  </si>
  <si>
    <t>Layanne</t>
  </si>
  <si>
    <t>Primeiramente a minha cri´tica vai para o atendimento via chat. Pe´ssimo. Nota dois. Os atendentes simplesmente finalizam na sua cara o atendimento antes do cliente terminar. Verifiquem o protocolo 211125-024149. Parece que os atendentes simplesmente sa~o postos a trabalhar sem nenhum treinamento agredindo sem precisar falar uma palavra. Melhorassss PONTO. Veja a concorre^ncia ao seu lado. O cliente na~o precisa se humilhar para comprar produtos de voce^s. 
Comprei um produto (ar condicionado pedido final 145) que me garante 30990 pontos no programa tudo azul e antes que voce^s me tragam dor de cabec¸a estou deixando registrado aqui a minha insatisfac¸a~o quanto ao site de voce^s que saem totalmente desconfigurado, pore´m todos os passos foram efetuados corretamente inclusive a orientac¸a~o de apertar o bota~o acumule pontos na finalizac¸a~o da compra, compra esta que ja´ foi aprovada. Aguardo meus pontos no programa tudo azul e recebam meu feedback como oportunidade de melhoria. Site muito ruim e atendimento via chat humilhante.</t>
  </si>
  <si>
    <t>Fiz uma compra no app extra no dia 25/11/21 e logo debitaram no meu carta~o , enta~o deu tudo certo, no dia seguinte a loja cancela minha comprar sem motivo e sem aviso logo apo´s o valor do produto que havia comprado aumentar de valor.
Triste Experie^ncia de compra que tive com a loja, na~o voltarei a comprar mais nessa loja.</t>
  </si>
  <si>
    <t>Comprei uma ma´quina de lavar no dia 20/11 de 14kg marca Consul no site das Casas Bahia, paguei pelo Pic Pay 
Pore´m ate´ o momento meu pedido na~o foi recebido, sendo que o prazo de entrega e´ no prazo de 7 dias. Quero saber o que aconteceu.Pois ngm consegue me ajudar e quando ligo na~o atende</t>
  </si>
  <si>
    <t>Comprei uma cadeira de escrito´rio ergono^mica tela com brac¸o RCP azul claro, estava anunciado por R$ 68,00 mais R$ 24,00 de frete para meu enderec¸o, mais a compra na~o fecha, comprei com pix ai devolveram o pix, isso foi dia 22/11 e 23/11, ate´ um vendedor entrou em contato comigo pelo whatzap e tambe´m na~o conseguiu fechar a venda. 
E Hoje dia 24/11 a cadeira saiu da promoc¸a~o ela custa hoje R$ 679,00 e se comprar a compra fecha normalmente.
Propaganda enganosa, quero a cadeira, pelo prec¸o da promoc¸a~o como estava no site, e app, tenho todos os prints, e e-mail do ponto frio.
Cadeira co´digo do item: 1521080618</t>
  </si>
  <si>
    <t>Comprei um iphone 11 nas casas bahia Black Friday para receber em 18/11/2021,ja´ passou da data e a encomenda nao chegou na minha cidade .Na~o posso ficar no prejui´zo de um objeto ta~o caro.
Ja´ tentei informac¸a~o no Whatsapp da loja e na~o tive sucesso.
Tenho o nu´mero de rastreio dos Correios e la´ mostra que a encomenda foi postada diz 5/11e encaminhada para Bele´m, mas o status na~o muda desde essas data.Preciso de um posicionamento da loja.Comprei,paguei e quero receber o produto. Ja´ entrei em contato com atendente da loja virtual e ainda na~o tenho retorno .Preciso de uma decisa~o da loja urgente.
Preciso saber o que aconteceu. 
Na~o posso ficar no prejui´zo.</t>
  </si>
  <si>
    <t>Pedi um pedido dia 17/11 e me deram um prazo de entrega ate´ o dia 25/11 . 
Ate´ agora na~o chegou, e no app se encontra q o meu pedido ja´ foi entregue. Estou sem tv me ajuda ai´</t>
  </si>
  <si>
    <t>Na data de 26/11/2021 realizei uma compra para dar de presente, pore´m a pessoa mudou-se e na~o me avisou, tentei alterar o enderec¸o de entrega, consegui alterar mas para envio do produto na~o alterou isso porque foi na mesma hora, resolvi cancelar o produto, mas o carta~o informado no site, que vou receber o estorno eu desconhec¸o. Realizei diversas tentativas naquele telefone, que informam que o atendimento e´ 24 e na~o fui atendida. Segue o nu´mero do pedido Pedido: 301703004
Data: 26/11/2021 a`s 22:54 e o nu´mero do pedido de cancelamento. Cancelado em
26/11/2021
Protocolo do cancelamento 211126-057597.Fico no aguardo para informa´-los o nu´mero do carta~o correto, que eu conhec¸o para que seja estornado o valor. Esses canais sa~o vergonhosos e uma grande mentira, na~o atendem nem o telefone, muito menos aquele robo^ do whatsapp, que nunca entende o que precisamos. !!!!!!!!!!!!</t>
  </si>
  <si>
    <t>Fiz uma compra no site no dia 12 deste me^s. logo que finalizei a compra, recebi uma oferta melhor do mesmo produto. 
O pagamento ainda nem havia sido confirmado enta~o tive que aguardar a confirmac¸a~o do mesmo para pedir o cancelamento. O que foi feito no mesmo instante que recebi a notificac¸a~o da aprovac¸a~o. 
No entanto, mimha solicitac¸a~o na~o foi aceita! O pedido foi faturado e enviado!! 
Quando entrei novamente em contato, fui informado que teria que esperar a entrega do produto para so´ apo´s dar ini´cio ao processo de cancelamento, fosse pela recusa ou devoluc¸a~o do pedido. 
O prazo de entrega se extinguiu ontem, dia 23, e nenhuma tentativa de entrega foi efetuada ! Nem mesmo o rastreamento do pedido conseguiu obter quando solicitado.. 
Hoje, ao entrar em contato novamente, disseram que eu devo CONTINUAR AGUARDANDO a entrega para que possam proceder com a devoluc¸a~o!!! 
Palhac¸ada ne´?! 
Cada vez que tento contato com o atendimento do extra me passam mais e mais prazos para um retorno. que nunca obtenho! 
Nao quero mais aguardar, quero o cancelamento do pedido pelo DESCUMPRIMENTO DO PRAZO de entrega e o imediato reembolso dos valores pagos!</t>
  </si>
  <si>
    <t>Mikeile</t>
  </si>
  <si>
    <t>Comprei um celular que na~o chegou em meu enderec¸o e consta como entregue. Transportadora vvlog.</t>
  </si>
  <si>
    <t>Estou aqui para expressa uma indignac¸a~o em relac¸a~o ao site Extra.com.br . Pois bem, eles esta~o anunciando um produto, tablet samsung s6 lite, mas quando vou verificar o valor do frete atrave´s do CEP informam a seguinte mensagem Desculpe! No momento este produto na~o pode ser entregue na regia~o informada.Ate´ ai´ tudo bem, mas ao colocar CEP de outras regio~es a mesma mensagem reaparece, isto e´, tambe´m na~o tem entrega disponi´vel, todos marcam que na~o tem entrega disponi´vel para o Cep informado. Na~o consigo reclamar, pois na~o consigo fazer o pedido. Gostaria da resoluc¸a~o do problema, pore´m eu na~o consigo adicionar o produto aos meus pedidos, na~o aparece nem essa opc¸a~o para mim, simplesmente aparece que o produto na~o tem entrega disponi´vel para nenhum lugar. O mais interessante e´ que venho acompanhando o mesmo produto ha´ meses e nunca aconteceu esse problema, a coincide^ncia e´ ter acontecido no dia da Black Friday, ainda que o produto estivesse indisponi´vel entenderia, mas no site consta como disponi´vel ale´m de ter uma promoc¸a~o em cima do produto. Gostaria de entender isso.</t>
  </si>
  <si>
    <t>BOA TARDE PODE PARECER PIADA MAIS UMA GERENTE DA LOJA PONTO DE BANGU SE NEGOU A ME VENDER UM CELULAR FUI ATE A LOJA CONEGO DE VASCONCELOS EM BANGU APROVEITAR AS OFERTAS BLACK FRIDAY AO CHEGAR NA LOJA FUI MUITO BEM RECEBIDA PELA ATENDENTE CARLA ARAUJO QUE ME OFETOU UM DESCONTO POREM EU SO ESTAVA COM CARTAO VIRTUAL A MESMA ME INFORMOU QUE NA LOJA SO PASSA O CARTAO INSERIDO OK ESTAVA NO MEU HORARIO DE ALMOC¸O PARA NAO PERDER A OFERTA FUI ATE A MINHA CASA BUSCAR O CARTAO GASTEI R$30,00 REAIS DE UBER PARA NA~O DEMORAR E NAO PERDER O CELULAR QUE EU TANTO DESAJAVA COMPRAR ATE MESMO POR QUE FUI INFORMADA QUE ERA A ULTIMA PEC¸A ESSE FOI O MOTIVO DO MEU DESESPERO AO RETORNAR A LOJA A ATENDENTE JA ME RECEBEU ME INFORMANDO QUE ESSE TELEFONE ESTA RESERVADO PELA GERENTE E QUE INFELIZMENTE ELA NA~O AUTORIZOU A VENDA POREM O MESMO ESTA ALI NA MINHA FRENTE EU ESTAVA COM CARTAO NA MA~O E MEU PREJUIZO DE TER IDO EM CASA DE UBER E VONTADO ESSE TIPO DE CONDUTA E´ CORRETA ??? O WUE DEVO FAZER ??? A EMPRESA NA~O TEM AUVIDORIA O QUE E´ MAIS UMA PIADA ESTOU MEGA INSATISFENITA COM A EMPRESA SEM SOLUC¸A~O O CASO VOLTEI PARA CASA SEM O MEU PRODUTO COM MINHA INDIGUINAC¸A~O DE NAO TER AO MENOS O DIREITO DE REGISTRAR UMA RECLAMAC¸A~O NA EMPRESA DESSA GERENTE QUE DEVERIA COMPREENDER O CLIENTE E FAZ O CONTRARIO IRRITA O CLIENTE E IMPEDI O CLIENTE DE COMPRAR COM O DINHEIRO EM MA~O LOJAS PONTO ESSA GERENTE E´ UMA PIADA</t>
  </si>
  <si>
    <t>Welker</t>
  </si>
  <si>
    <t>Efetuei a compra de um modelador de cachos no dia 6/11, no site havia informado entrega em 6 dias u´teis, hoje ja´ e´ dia 25/11 e nada de entrega. No site informa que no dia 18/11 eles tentaram mas na~o encontraram o enderec¸o pela transportadora Sequoia, so´ que eles na~o ligaram, nada, simplesmente na~o encontraram sendo que no mesmo dia recebi outra encomenda pela mesma transportadora. Ate´ ai´ eu tento contato pelo 0800 e nada, assistente virtual que logo encerra o atendimento. Enfim, to cheio de nu´mero de protocolo mas na~o tenho retorno nenhum da Loja Extra. Hoje e dia 25/11 fim de expediente as 18h e nada da minha encomenda. NUNCA MAIS EU COMPRO NESSA LOJA. E eu quero o estorno da minha comprar.</t>
  </si>
  <si>
    <t>NO DIA 23/11/2021 REALIZEI UMA COMPRA NO SITE DA CASAS BAHIA, FOI DE UM JOGO DE PANELAS TRAMONTINA LINHA ALLEGRA, LA´ O JOGO ESTAVA NA PROMOC¸A~O, E POR TER A LOJA NA MINHA CIDADE, TINHA A OPC¸A~O RETIRE RA´PIDO A PARTIR DE 2HS* , REALIZEI A COMPRA E SELECIONEI ESSA OPC¸A~O, SO´ QUE APO´S FINALIZADA A COMPRA APARECEU QUE SO´ PODE RETIRAR NA LOJA A PARTIR DO DIA 02/12/2021, ENTA~O O RETIRE RA´PIDO NA~O FUNCIONA. ENTREI EM CONTATO COM A LOJA DA MINHA CIDADE COXIM-MS E O JOGO DE PANELAS NEM SEQUER CONSTA NO ESTOQUE. DEVIAM ESPECIFICAR MELHOR ESSA QUESTA~O DO RETIRE RA´PIDO. SE EU SOUBESSE E TIVESSE ESPECIFICADO TERIA COLOCADO COM O FRETE QUE CHEGARIA NO CASO MAIS RA´PIDO. QUERO UMA POSIC¸A~O DA LOJA ONLINE E TENHO PRESSA COM MEU PRODUTO</t>
  </si>
  <si>
    <t>Eu estava pesquisando um modelo de televisa~o a meses e, a vendedora me 3nviou um link dizendo ser a televisa~o q eu avia escolhido era o modelo 43un7300psc 2020, mas no link era a tv 43un731c e quando chegou na minha casa chegou uma caixa de uma TV smart simples e colado ao lado da tela uma etiqueta informando q era o modelo 43un731c0sc, a vendedora entrou em contato cm o te´cnico q disse q e a mesma televisa~o mas na~o e´ se na~o tinha oque eu queria na loja a obrigac¸a~o e´ me informa e na~o me vender algo parecido pois em outras lojas ainda tem estoque da que eu quero, fiz a compra dia 10 so´ chegou dia 18 e me deram 4 dias u´teis pra resolver e hoje recebi um email dizendo q na~o poderia trocar pois so´ trocam por motivos de defeito, e seria mais 6 dias apo´s a devoluc¸a~o pra devolver meu dinheiro. ou seja mais praticamente um me^s inteiro de transtorno, e eu sem televisa~o em casa! Vou entrar no Procon e no co´digo do consumidor pois isso e fraude</t>
  </si>
  <si>
    <t>Dia 6/11 comprei um Ipad 8 32gb (pedido de nu´mero 296485963) pelo site das Casas Bahia, sendo que seria vendido pela KAPEL. O pedido demorou dias para ser postado, sendo que a postagem ocorreu apenas no dia 18/11. No dia 19/11 recebi uma mensagem de que o pedido tinha sido entregue, porem nunca foi recebido por mim. Fui ate´ a central de distribuic¸a~o de correios de Braganc¸a Paulista (cidade em que moro), e pelo co´digo de rastreio informaram que o pedido foi entregue em outro enderec¸o e que outra pessoa assinou e recebeu. Abri um chamado na mesma hora de que na~o recebi o pedido. Pediram 4 dias u´teis para resoluc¸a~o. Estou no 5o dia u´til e na~o houve nenhuma resposta. Todos os chamados de atendimento online que abri foram extremamente ineficazes e nenhum me deu alguma resposta concreta ou u´til para o caso. Sigo no aguardo, infeliz com o servic¸o.</t>
  </si>
  <si>
    <t>fiz um pedido no site da loja na sexta feira, e logo em seguida pedi o cancelamento do mesmo, pois queria alterar a forma de pagamento!
Na~o consigo nenhum retorno ate´ o momento! 
No ato da solicitac¸a~o do cancelamento,.foi me passado o prazo de 48h u´teis. passado esse prazo tentei contato pelo chat e me passaram que o prazo correto eram de 4 dias u´teis ! 
Pois bem, esse prazo tbm ja´ se encerrou e ainda aguardo retorno !!
Solicito o cancelamento do pedido, nem como o imediato estorno dos valores pagos!</t>
  </si>
  <si>
    <t>Notebook da Dell processador I3, 4gb de memo´ria e 256 GB de HD. 
Ontem 25/11/2021 no valor de 2.700,00, hoje 26/11/2021 esta black Friday 2.849,00 no extra e no ponto frio, com o selo Black Friday.</t>
  </si>
  <si>
    <t>Desde o dia 13/11 as compras que fac¸o pelo site do Ponto Frio, com o pro´prio carta~o Itau Ponto Frio sa~o canceladas sem motivo justificado. Ao ligar para 4003-8388, os atendentes dizem que na~o te^m acesso a`s informac¸o~es e "provavelmente foi o setor de seguranc¸a dos carto^es cancelou a compra". Como pelo site estava difi´cil, tentei no Televendas, com o vendedor Henrique no dia 17/11 a`s 13:50h comprar um notebook em 29 vezes sem juros, ja´ que o produto permitia parcelar no carta~o Itau Ponto Frio em ate´ 30 vezes, perfazendo um total de R$ 16.999,00. O vendedor Henrique perguntou se eu confirmava a compra nesses termos (29 vezes sem juros) e confirmei. Solicito a gravac¸a~o do atendimento para confirmar o fato. Para minha surpresa logo a seguir, ao confirmar a compra no meu carta~o havia uma compra de R$ 18.815,60 em 10 VEZES COM JUROS! Ao observar as reclamac¸o~es neste canal, observo que seja uma pra´tica constante do setor de Televendas dessa empresa, e FAC¸O UM ALERTA A TODOS OS CONSUMIDORES DO PONTO FRIO, PRINCIPALMENTE DO TELEVENDAS, SOBRE O VALOR REAL COBRADO EM SUAS FATURAS !!! FIQUEM ATENTOS !!!
Finalmente consegui comprar pelo site o notebook em 29 vezes sem juros pelo valor de R$ 16.999,00, o qual ja foi entregue, mas a despesa anterior de 18.815,60 continua em aberto no meu carta~o consumindo o meu limite de compras ate´ esta data (27/11/2021), mesmo tendo aberto uma reclamac¸a~o no SAC do Itaucard.
Pensei que tudo estivesse resolvido com relac¸a~o ao "setor de seguranc¸a do carta~o", e tentei comprar 2 celulares, mas a situac¸a~o na~o parou por ai´.
Em RESUMO: de 17/11/2021 a 27/11/2021, foram 27 compras tentativas de compras e o resultado temos a seguir:
Pedido: 298092241 - Site.
Data: 13/11/2021 a`s 10:55 CANCELADO SEM MOTIVO JUSTIFICADO.
Pedido: 298437043 - Site.
Data: 16/11/2021 a`s 05:17 CANCELADO SEM MOTIVO JUSTIFICADO.
Pedido: 298437713 - Site.
Data: 16/11/2021 a`s 06:28 CANCELADO SEM MOTIVO JUSTIFICADO.
Pedido: 298610444 - Site.
Data: 16/11/2021 a`s 23:32 CANCELADO SEM MOTIVO JUSTIFICADO.
Pedido: 298612249 - Site.
Data: 16/11/2021 a`s 23:55 CANCELADO SEM MOTIVO JUSTIFICADO.
Pedido: 298793743 - TELEVENDAS !
Data: 17/11/2021 a`s 10:33 VALOR CONTRATADO: R$ 16.999,00 MAS FOI COBRADO R$ 18.815,60 - SEM ESTORNO DO VALOR - Reclamac¸a~o aberta no Itaucard Ponto Frio.
Pedido: 298864689 - Site.
Data: 17/11/2021 a`s 16:07 CANCELADO SEM MOTIVO JUSTIFICADO.
Pedido: 298869581 - Site.
Data: 17/11/2021 a`s 16:29 CANCELADO SEM MOTIVO JUSTIFICADO.
Pedido: 298878237 - Site.
Data: 17/11/2021 a`s 17:07 Entregue pelo valor real de R$ 16.990,00 em 29 vezes.
Pedido: 298949546 - Site.
Data: 18/11/2021 a`s 08:57 CANCELADO SEM MOTIVO JUSTIFICADO.
Pedido: 299766628 - Site.
Data: 21/11/2021 a`s 16:00 CANCELADO SEM MOTIVO JUSTIFICADO.
Pedido: 299867593 - Site.
Data: 22/11/2021 a`s 10:58 CANCELADO SEM MOTIVO JUSTIFICADO - SEM ESTORNO DO VALOR - Reclamac¸a~o aberta no Itaucard Ponto Frio.
Pedido: 299883210 - Site.
Data: 22/11/2021 a`s 11:54 CANCELADO SEM MOTIVO JUSTIFICADO.
Pedido: 299927134 - Site.
Data: 22/11/2021 a`s 14:31 CANCELADO SEM MOTIVO JUSTIFICADO.
Pedido: 299946062 - Site.
Data: 22/11/2021 a`s 15:33 CANCELADO SEM MOTIVO JUSTIFICADO.
Pedido: 299998030 - Site.
Data: 22/11/2021 a`s 18:29 CANCELADO SEM MOTIVO JUSTIFICADO.
Pedido: 300005468 - Site.
Data: 22/11/2021 a`s 18:58 CANCELADO SEM MOTIVO JUSTIFICADO.
Pedido: 300014036 - Site.
Data: 22/11/2021 a`s 19:36 CANCELADO SEM MOTIVO JUSTIFICADO.
Pedido: 300020844 - Site.
Data: 22/11/2021 a`s 20:06 CANCELADO SEM MOTIVO JUSTIFICADO - SEM ESTORNO DO VALOR - Reclamac¸a~o aberta no Itaucard Ponto Frio.
Pedido: 300064092 - Site.
Data: 23/11/2021 a`s 05:36 CANCELADO SEM MOTIVO JUSTIFICADO.
Pedido: 300136225 - Site.
Data: 23/11/2021 a`s 13:42 CANCELADO SEM MOTIVO JUSTIFICADO - SEM ESTORNO DO VALOR - Reclamac¸a~o aberta no Itaucard Ponto Frio.
Pedido: 300145314 - Site.
Data: 23/11/2021 a`s 14:20 CANCELADO SEM MOTIVO JUSTIFICADO.
Pedido: 300147110 - Site.
Data: 23/11/2021 a`s 14:27 CANCELADO SEM MOTIVO JUSTIFICADO.
Pedido: 300149036 - Site.
Data: 23/11/2021 a`s 14:35 CANCELADO SEM MOTIVO JUSTIFICADO.
Pedido: 300150075 - Site.
Data: 23/11/2021 a`s 14:39 CANCELADO SEM MOTIVO JUSTIFICADO.
Pedido: 300154028 - Site.
Data: 23/11/2021 a`s 14:54 CANCELADO SEM MOTIVO JUSTIFICADO.
Pedido: 300159501 - Site.
Data: 23/11/2021 a`s 15:15 Entregue a` transportadora, mas TAMBE´M CANCELADO SEM MOTIVO JUSTIFICADO.
Este u´ltimo, finalmente foi aprovado, mas apo´s eu abrir uma reclamac¸a~o no Itaucard Ponto Frio, com relac¸a~o aos R$ 18.815,60 cobrados indevidamente no meu carta~o, e por isso mesmo devem me devolver em dobro, pelo Art. 42 do Co´digo do Consumidor, o Ponto Frio resolveu cancelar tambe´m esta compra que ja´ estava em rota de entrega conforme os comprovantes em anexo.
Conclusa~o: 
Na~o me venham dizer novamente que foi coisa do "setor de seguranc¸a do carta~o", pois um setor como o tal que se preze, que venha barrar sucessivas tentativas de compras LEGI´TIMAS, esta´ atentando contra a pro´pria empresa, cerceando as vendas e promovendo uma verdadeira discriminac¸a~o de consumidores, a partir do injustificado cancelamento de compras sem nenhuma satisfac¸a~o. E o pior, descontando os valores do carta~o de cre´dito sem estorno, em alguns casos. Isso eles na~o deixam de fazer. Esses fatos, por si so´ caracterizam abuso de poder econo^mico atrave´s do cancelamento unilateral de vendas sem motivo razoa´vel sem provas de alegac¸a~o de possi´veis fraudes, ja´ que outra compra foi realizada normalmente. (Em anexo deixo o artigo do advogado especialista em Direito Tributa´rio Kristian Rodrigo Pscheidt no site e-Commerce Brasil em 2017 em colaborac¸a~o aos Jeistores (com jota mesmo) da empresa.
Na~o vou entrar no me´rito, nem julgar quem quer que seja, e por diversos motivos cada um tem a eficie^ncia e honestidade dos funciona´rios que merece, mas e´ lamenta´vel que uma empresa com a tradic¸a~o do Ponto Frio esteja passando por essa fase. APENAS PEC¸O ENCARECIDAMENTE QUE MEU DIREITO DE CONSUMIDOR SEJA RESPEITADO. APENAS.
Obrigado.
https://www.ecommercebrasil.com.br/artigos/como-agir-em-caso-de-cancelamento-da-compra-pelo-fornecedor-e-o-dano-moral/
Site e-Commerce Brasil.
Cancelamento da compra pelo fornecedor X dano moral
DECEMBER 21, 2017
por Kristian Rodrigo Pscheidt.
O come´rcio eletro^nico cresce de forma vertiginosa no Brasil. No ano de 2016, estima-se que o segmento faturou quase R$ 50 bilho~es, um crescimento de 8% em relac¸a~o ao ano anterior. Metade da populac¸a~o ja´ possui acesso a` internet, sendo que 20% destas ja´ aderiram a`s compras virtuais.
De outro lado, importante e´ destacar que se aplica ao segmento todas as diretrizes e princi´pios de protec¸a~o ao cliente previstos no Co´digo de Defesa do Consumidor. Pore´m, devido a`s peculiaridades do ambiente virtual, algumas caracteri´sticas i´mpares surgem no come´rcio eletro^nico.
Uma delas diz respeito ao cancelamento unilateral da compra por iniciativa do fornecedor, seja por indisponibilidade de estoque, erro de sistema, ou mesmo impossibilidade de entrega na reside^ncia do consumidor.
Suponhamos que o consumidor receba um panfleto anunciando que um produto estaria em promoc¸a~o em determinada loja e, chegando no estabelecimento, o produto ja´ teria se esgotado. Sabe-se que a oferta suficientemente precisa, veiculada por qualquer forma ou meio de comunicac¸a~o com relac¸a~o a produtos e servic¸os oferecidos ou apresentados, obriga o fornecedor (artigo 30 do Co´digo de Defesa do Consumidor) a cumprir a oferta.
Pore´m, a legislac¸a~o na~o pode obrigar o fornecedor a comercializar itens ale´m do seu estoque. Mitiga-se, com razoabilidade, o cumprimento compulso´rio previsto no artigo 35 do Co´digo de Defesa do Consumidor.
Agora, o ponto fundamental e´: este mesmo racioci´nio se aplica a`s compras realizas pela internet?
A resposta e´ positiva. Veja-se que a oferta no ambiente virtual parece possuir a peculiaridade de estar online, supostamente integrada com o nu´mero de itens disponi´veis para a venda, na~o podendo o fornecedor alegar a indisponibilidade.
No entanto, o come´rcio eletro^nico traz outros elementos que justificam a impossibilidade de finalizac¸a~o da compra. Por exemplo, a impossibilidade de entrega na reside^ncia do consumidor; ou ainda, um anu´ncio desvinculado ao sistema interno da empresa, divulgado em sites parceiros.
Perceba que o cumprimento compulso´rio da oferta, disposto no artigo 35 do Co´digo de Consumidor, exige uma negativa injustificada da venda, em ni´tido abuso do poder econo^mico.
Na~o pode penalizar o fornecedor de boa-fe´, que teve um motivo razoa´vel que o impede de cumprir a oferta.
Ai´ entra em destaque duas varia´veis importantes:
a) motivo razoa´vel
b) o o^nus de provar a alegac¸a~o.
E´ o^nus do fornecedor comprovar, de forma exaustiva, os motivos que o levaram a na~o honrar com o anu´ncio.
Preenchidos ambos os requisitos, na~o e´ cabi´vel qualquer indenizac¸a~o por dano moral ao consumidor, desde que o valor pago seja integralmente devolvido. Trata-se de mero aborrecimento, incapaz de presumir qualquer abalo a` esfera moral da pessoa.
O Poder Judicia´rio vem acolhendo essa noc¸a~o, como fez a Jui´za de Direito de Sa~o Joa~o de Meriti, Dra. Patri´cia Cogliatti de Carvalho, a julgar improcedente pretensa~o do consumidor, decidindo que uma vez que os valores foram estornados e quanto aos danos morais os fatos narrados pela parte autora configuram aborrecimentos que embora desagrada´veis, fazem parte do dissabor do cotidiano, os quais na~o se traduzem em danos de ordem moral.
No processo n 0010423-56.2017.8.19.0054, da Comarca de Sa~o Joa~o de Meriti/RJ, a MM. Jui´za, em data de 22/05/2017, reconheceu que para configurac¸a~o do dano moral e´ indispensa´vel exsurgir dos autos a violac¸a~o aos direitos da personalidade da vi´tima, como sua honra, imagem, privacidade ou bom nome, o que na~o se confirmou na ac¸a~o.
No caso, o consumidor teria adquirido na internet, em 17/02/2017, produtos esportivos no valor total de R$ 319,96. Contudo, os produtos na~o foram entregues uma vez que o enderec¸o na~o foi localizado, sendo enta~o os valores estornados no carta~o de cre´dito, automaticamente.</t>
  </si>
  <si>
    <t>Ymair</t>
  </si>
  <si>
    <t>Realizei uma compra dia 14/11/21 de um aquecedor a ga´s (pedido: 298254907), com data de recebimento dia 19/11/21. ja´ tentei entrar em contato mas abrem um protocolo para 10 dias. Na~o consigo falar com a transportadora Olist Store.
O pior de tudo que estou deixando de viajar em func¸a~o de aguardar o produto. Se na~o tem capacidade de entrega enta~o sejam honestos com seus consumidores, coloque um prazo maior, se soubesse desse atraso teria comprado em outra loja, mesmo pagando um pouco mais caro.
Por favor ne´ Ponto Frio.. que mancada!!</t>
  </si>
  <si>
    <t>Achei o foga~o que estou procurando pelo app zoom que me levou ao site e app do ponto frio.
O valor mais acessi´vel que achei ate´ o momento 1999,00 em 10 X. Mas toda vez que eu vou finalizar a compra eles alegam que meu CEP na~o esta´ disponi´vel. Coloquei va´rios inclusive de parentes. Mas ao verificar a loja parceira Megamamute, na~o tem o foga~o la´ e tambe´m alegam entregar a todo o Brasil. Propaganda enganosa. No app do ponto frio, no app zoom e na~o tem o produto no Megamamute tambe´m.
Quero pagar 1999 em 10x no foga~o e que ele seja entregue nos ceps que tenho disponi´vel porque na~o e´ possi´vel que 3 ceps diferentes na~o e´ possi´vel.</t>
  </si>
  <si>
    <t>Boa tarde. Hoje tem 1 semana e 2 dias que meu IPhone XR chegou. Mas hoje aconteceu uma coisa bem estranha, eu estava no meu trabalho, e de repente ele comec¸ou a vibrar, tremer, sozinho sem parar, sem ter nenhuma notificac¸a~o ou ligac¸a~o, e tambe´m estava fazendo um baralho como se fosse um gerador, e o som estava saindo pela entrada do carregador. Fiquei desesperada e fui desligar o celular. Quando cliquei no bota~o de volume, ele parou. Mas isso e´ muito estranho, nunca aconteceu com nenhum celular meu antes. Queria saber oque pode ser, por que acho que na~o e´ normal.</t>
  </si>
  <si>
    <t>Eu fiz uma compra de um iPhone 12 no dia 26/11/2021p, por volta das 12:30 pelo valor de 4999.00 reais, mas so´ por volta das 13:30 deu erro na aprovac¸a~o do pagamento via carta~o de cre´dito mas so´ fui notar isso as 17h, mas quando eu fui realizar o pagamento novamente, bem no momento de ir pro carta~o o prec¸o muda para 4999,00 reais.Obs: Fui buscar atendimento no televenda a atendente na~o demonstrou interesse nenhum em esclarecer o ocorrido comigo .</t>
  </si>
  <si>
    <t>HOJE, BLACK FRIDAY 26/11/2021 efetuei o pedido 300889709 301124887 de uma TV E UMA MALA . Aproveitei a promoc¸a~o que prometia conceder 15 pontos Tudo Azul para cada real gasto em produtos no site www.pontofrio.com.br/tudoazul para quem fizesse o pedido utilizando o carta~o Itaucard Tudo Azul. Segui todos os passos conforme mandava a promoc¸a~o (ja´ conhec¸o a sistema´tica pois ja´ aproveitei promoc¸o~es anteriores nos mesmos moldes). Ocorre que ao final do pedido, NA~O APARECEU - Acumular Pontos". Entrei em contato por telefone 4003 11 41 a atendente pediu para aguardar. Verifiquem os prints das telas nos anexos.
Solicito que me seja confirmado pelo Ponto Frio se o acu´mulo de pontos foi registrado para esta compra ou na~o (15 pontos por real). Caso o registro na promoc¸a~o esteja OK, seguirei com os pedidos. Caso o registro na~o tenha sido (por falha no site do Ponto Frio), irei CANCELAR ANTES DOS 7 dias previstos no CDC alegando desiste^ncia.
Aguardo retorno antes de 7 dias da entrega do pedido.</t>
  </si>
  <si>
    <t>As casas Bahia cancelaram um compra de uma ferramento para uso na minha empresa sem minha autorizac¸a~o, ao ligar so telefone deles e pelo whattapp me informaram que o fornecedor do produto ficou sem estoque e sem previc¸a~o de reposic¸a~o, deixei de compra em outro site para compra com eles e agora estou precisando a ferramenta sem na~o estou querendo reembolso que o produto que comprei que por sinal receberam na hora por pix, aogra cancelaram e ainda estou me falando que vao vou qual o dia vai ser realizaro essa devoluc¸a~o, nao quero reenboldo quero que envio a mercadora compra vou siminar como manda a a lei do consulmido. 
Nu´mero do pedido 299714366
Data da compra 21/11/2021
Valor total R$ 451,37
Tipo de entrega Normal
conversar pelo whatapp
[09:17, 25/11/2021] Casas Bahia Atendimento: Carlos, seu produto ainda na~o foi repassado ao transportador. Assim que ele for repassado, voce^ sera´ notificado via e-mail e tambe´m recebera´ o co´digo de rastreio para acompanhar a entrega. 
Data Prometida de Entrega: 07/12/2021
[09:18, 25/11/2021] Cloud Monitoramento Priva: me informaram pelo telefone que o produtos nao esta mais em estoque na loja parceira
[09:18, 25/11/2021] Casas Bahia Atendimento: Deixa eu verificar em sistema, so´ um momento.
[09:22, 25/11/2021] Casas Bahia Atendimento: Carlos, verifiquei em sistema que realmente foi registrado que o produto ficou indisponi´vel em estoque: 
"23/11/2021 15:40 - Elo'undefined - Caros, Nosso lojista teve um imprevisto com relac¸a~o ao estoque do produto e na~o temos previsa~o para a reposic¸a~o do item. Por gentileza efetuar o cancelamento"
Pore´m, ontem, dia 25/11, foi aberto um chamado para que verifiquem se e´ possi´vel encaminhar um produto similar. O prazo ma´ximo que nosso time leva para entrar em contato com vc por e-mail ou telefone e´ de 04 dias u´teis. 
Voce^ deseja aguardar o retorno do setor responsa´vel confirmando se conseguira~o enviar um produto similar, ou prefere prosseguir com o cancelamento?
[09:24, 25/11/2021] Cloud Monitoramento Priva: Vou aguardar, na~o quero cancelar quero o produto
[09:26, 25/11/2021] Casas Bahia Atendimento: Ta´ bem.</t>
  </si>
  <si>
    <t>Coluna1</t>
  </si>
  <si>
    <t>Coluna2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</si>
</sst>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rgb="FFFF0000"/>
      <name val="Calibri"/>
      <family val="2"/>
      <scheme val="minor"/>
    </font>
    <font>
      <u/>
      <sz val="11"/>
      <color theme="10"/>
      <name val="Calibri"/>
      <family val="2"/>
      <scheme val="minor"/>
    </font>
    <font>
      <sz val="11"/>
      <color rgb="FFFFFFFF"/>
      <name val="Calibri"/>
      <family val="2"/>
    </font>
    <font>
      <sz val="10"/>
      <color theme="1"/>
      <name val="Arial"/>
      <family val="2"/>
    </font>
    <font>
      <sz val="11"/>
      <color theme="1"/>
      <name val="Calibri"/>
      <family val="2"/>
    </font>
    <font>
      <sz val="8"/>
      <name val="Calibri"/>
      <family val="2"/>
      <scheme val="minor"/>
    </font>
  </fonts>
  <fills count="4">
    <fill>
      <patternFill patternType="none"/>
    </fill>
    <fill>
      <patternFill patternType="gray125"/>
    </fill>
    <fill>
      <patternFill patternType="solid">
        <fgColor rgb="FF000000"/>
        <bgColor indexed="64"/>
      </patternFill>
    </fill>
    <fill>
      <patternFill patternType="solid">
        <fgColor rgb="FFE2EFDA"/>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NumberFormat="1"/>
    <xf numFmtId="164" fontId="0" fillId="0" borderId="0" xfId="0" applyNumberFormat="1"/>
    <xf numFmtId="0" fontId="1" fillId="0" borderId="0" xfId="0" applyFont="1"/>
    <xf numFmtId="0" fontId="1" fillId="0" borderId="0" xfId="0" applyNumberFormat="1" applyFont="1"/>
    <xf numFmtId="164" fontId="1" fillId="0" borderId="0" xfId="0" applyNumberFormat="1" applyFont="1"/>
    <xf numFmtId="0" fontId="3" fillId="2" borderId="1" xfId="0" applyFont="1" applyFill="1" applyBorder="1" applyAlignment="1">
      <alignment horizontal="center" wrapText="1"/>
    </xf>
    <xf numFmtId="0" fontId="4" fillId="0" borderId="1" xfId="0" applyFont="1" applyBorder="1" applyAlignment="1">
      <alignment wrapText="1"/>
    </xf>
    <xf numFmtId="0" fontId="5" fillId="3" borderId="1" xfId="0" applyFont="1" applyFill="1" applyBorder="1" applyAlignment="1">
      <alignment horizontal="center" wrapText="1"/>
    </xf>
    <xf numFmtId="0" fontId="5" fillId="0" borderId="1" xfId="0" applyFont="1" applyBorder="1" applyAlignment="1">
      <alignment horizontal="center" wrapText="1"/>
    </xf>
    <xf numFmtId="0" fontId="2" fillId="0" borderId="1" xfId="1" applyBorder="1" applyAlignment="1">
      <alignment horizontal="center" wrapText="1"/>
    </xf>
    <xf numFmtId="0" fontId="0" fillId="0" borderId="0" xfId="0" applyNumberFormat="1" applyFont="1"/>
  </cellXfs>
  <cellStyles count="2">
    <cellStyle name="Hiperlink" xfId="1" builtinId="8"/>
    <cellStyle name="Normal" xfId="0" builtinId="0"/>
  </cellStyles>
  <dxfs count="5">
    <dxf>
      <font>
        <strike val="0"/>
        <outline val="0"/>
        <shadow val="0"/>
        <u val="none"/>
        <vertAlign val="baseline"/>
        <sz val="11"/>
        <color theme="1"/>
        <name val="Calibri"/>
        <family val="2"/>
        <scheme val="minor"/>
      </font>
      <numFmt numFmtId="0" formatCode="General"/>
    </dxf>
    <dxf>
      <numFmt numFmtId="0" formatCode="General"/>
    </dxf>
    <dxf>
      <numFmt numFmtId="164" formatCode="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AC3C00A-28BE-4978-A327-251CA6666E23}" autoFormatId="16" applyNumberFormats="0" applyBorderFormats="0" applyFontFormats="0" applyPatternFormats="0" applyAlignmentFormats="0" applyWidthHeightFormats="0">
  <queryTableRefresh nextId="9" unboundColumnsRight="2">
    <queryTableFields count="7">
      <queryTableField id="1" name="Column1" tableColumnId="1"/>
      <queryTableField id="2" name="int_legacyid" tableColumnId="2"/>
      <queryTableField id="3" name="st_description" tableColumnId="3"/>
      <queryTableField id="4" name="y_pred" tableColumnId="4"/>
      <queryTableField id="5" name="Confidence Level" tableColumnId="5"/>
      <queryTableField id="7" dataBound="0" tableColumnId="6"/>
      <queryTableField id="8"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75ABA-1D9A-4095-972B-F2BBFB6441FB}" name="combined_output_id__3" displayName="combined_output_id__3" ref="A1:G284" tableType="queryTable" totalsRowShown="0">
  <autoFilter ref="A1:G284" xr:uid="{2DD75ABA-1D9A-4095-972B-F2BBFB6441FB}"/>
  <tableColumns count="7">
    <tableColumn id="1" xr3:uid="{C6981C47-8E3D-4BA1-8672-C07269CCAA87}" uniqueName="1" name="Column1" queryTableFieldId="1"/>
    <tableColumn id="2" xr3:uid="{58DA129F-3884-4ADA-B69D-6B29ECD8D28E}" uniqueName="2" name="int_legacyid" queryTableFieldId="2"/>
    <tableColumn id="3" xr3:uid="{29B543D1-68B7-4984-AE74-C7109E613FFD}" uniqueName="3" name="st_description" queryTableFieldId="3" dataDxfId="4"/>
    <tableColumn id="4" xr3:uid="{59D02F42-2DB3-4023-9612-AEEE6B6C56F5}" uniqueName="4" name="y_pred" queryTableFieldId="4" dataDxfId="3"/>
    <tableColumn id="5" xr3:uid="{DF35F3D3-E43F-43BE-B19C-B9074E18179D}" uniqueName="5" name="Confidence Level" queryTableFieldId="5" dataDxfId="2"/>
    <tableColumn id="6" xr3:uid="{ACFB2699-35EC-4C67-A453-B5E173C650C3}" uniqueName="6" name="Coluna1" queryTableFieldId="7" dataDxfId="1">
      <calculatedColumnFormula>VLOOKUP(B3,Planilha1!C:E,3,0)</calculatedColumnFormula>
    </tableColumn>
    <tableColumn id="7" xr3:uid="{14AF54FD-5849-446F-9C75-5D02BD713F25}" uniqueName="7" name="Coluna2" queryTableFieldId="8" dataDxfId="0">
      <calculatedColumnFormula>IF(combined_output_id__3[[#This Row],[y_pred]]=combined_output_id__3[[#This Row],[Coluna1]],1,0)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zoom.com.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B8CE-6711-4277-8A28-E07198FDF38A}">
  <dimension ref="A1:G284"/>
  <sheetViews>
    <sheetView tabSelected="1" topLeftCell="C1" workbookViewId="0">
      <selection activeCell="H2" sqref="H2"/>
    </sheetView>
  </sheetViews>
  <sheetFormatPr defaultRowHeight="14.5" x14ac:dyDescent="0.35"/>
  <cols>
    <col min="1" max="1" width="10.54296875" bestFit="1" customWidth="1"/>
    <col min="2" max="2" width="13" bestFit="1" customWidth="1"/>
    <col min="3" max="3" width="80.7265625" bestFit="1" customWidth="1"/>
    <col min="4" max="4" width="10.54296875" bestFit="1" customWidth="1"/>
    <col min="5" max="5" width="17.1796875" bestFit="1" customWidth="1"/>
  </cols>
  <sheetData>
    <row r="1" spans="1:7" x14ac:dyDescent="0.35">
      <c r="A1" t="s">
        <v>0</v>
      </c>
      <c r="B1" t="s">
        <v>1</v>
      </c>
      <c r="C1" t="s">
        <v>2</v>
      </c>
      <c r="D1" t="s">
        <v>3</v>
      </c>
      <c r="E1" t="s">
        <v>4</v>
      </c>
      <c r="F1" t="s">
        <v>381</v>
      </c>
      <c r="G1" t="s">
        <v>382</v>
      </c>
    </row>
    <row r="2" spans="1:7" x14ac:dyDescent="0.35">
      <c r="A2">
        <v>0</v>
      </c>
      <c r="B2">
        <v>133503775</v>
      </c>
      <c r="C2" s="1" t="s">
        <v>5</v>
      </c>
      <c r="D2" s="1" t="s">
        <v>6</v>
      </c>
      <c r="E2" s="2" t="s">
        <v>277</v>
      </c>
      <c r="F2" s="1" t="str">
        <f>combined_output_id__3[[#This Row],[y_pred]]</f>
        <v>blackfriday</v>
      </c>
      <c r="G2" s="11">
        <f>IF(combined_output_id__3[[#This Row],[y_pred]]=combined_output_id__3[[#This Row],[Coluna1]],1,0)</f>
        <v>1</v>
      </c>
    </row>
    <row r="3" spans="1:7" x14ac:dyDescent="0.35">
      <c r="A3">
        <v>1</v>
      </c>
      <c r="B3">
        <v>133555945</v>
      </c>
      <c r="C3" s="1" t="s">
        <v>7</v>
      </c>
      <c r="D3" s="1" t="s">
        <v>8</v>
      </c>
      <c r="E3" s="2" t="s">
        <v>278</v>
      </c>
      <c r="F3" s="1" t="str">
        <f>combined_output_id__3[[#This Row],[y_pred]]</f>
        <v>Não</v>
      </c>
      <c r="G3" s="11">
        <f>IF(combined_output_id__3[[#This Row],[y_pred]]=combined_output_id__3[[#This Row],[Coluna1]],1,0)</f>
        <v>1</v>
      </c>
    </row>
    <row r="4" spans="1:7" x14ac:dyDescent="0.35">
      <c r="A4">
        <v>2</v>
      </c>
      <c r="B4">
        <v>133537001</v>
      </c>
      <c r="C4" s="1" t="s">
        <v>9</v>
      </c>
      <c r="D4" s="1" t="s">
        <v>8</v>
      </c>
      <c r="E4" s="2" t="s">
        <v>279</v>
      </c>
      <c r="F4" s="1" t="str">
        <f>combined_output_id__3[[#This Row],[y_pred]]</f>
        <v>Não</v>
      </c>
      <c r="G4" s="11">
        <f>IF(combined_output_id__3[[#This Row],[y_pred]]=combined_output_id__3[[#This Row],[Coluna1]],1,0)</f>
        <v>1</v>
      </c>
    </row>
    <row r="5" spans="1:7" x14ac:dyDescent="0.35">
      <c r="A5">
        <v>3</v>
      </c>
      <c r="B5">
        <v>133509813</v>
      </c>
      <c r="C5" s="1" t="s">
        <v>10</v>
      </c>
      <c r="D5" s="1" t="s">
        <v>8</v>
      </c>
      <c r="E5" s="2" t="s">
        <v>277</v>
      </c>
      <c r="F5" s="1" t="str">
        <f>combined_output_id__3[[#This Row],[y_pred]]</f>
        <v>Não</v>
      </c>
      <c r="G5" s="11">
        <f>IF(combined_output_id__3[[#This Row],[y_pred]]=combined_output_id__3[[#This Row],[Coluna1]],1,0)</f>
        <v>1</v>
      </c>
    </row>
    <row r="6" spans="1:7" x14ac:dyDescent="0.35">
      <c r="A6">
        <v>4</v>
      </c>
      <c r="B6">
        <v>133488705</v>
      </c>
      <c r="C6" s="1" t="s">
        <v>11</v>
      </c>
      <c r="D6" s="1" t="s">
        <v>8</v>
      </c>
      <c r="E6" s="2" t="s">
        <v>280</v>
      </c>
      <c r="F6" s="1" t="str">
        <f>combined_output_id__3[[#This Row],[y_pred]]</f>
        <v>Não</v>
      </c>
      <c r="G6" s="11">
        <f>IF(combined_output_id__3[[#This Row],[y_pred]]=combined_output_id__3[[#This Row],[Coluna1]],1,0)</f>
        <v>1</v>
      </c>
    </row>
    <row r="7" spans="1:7" x14ac:dyDescent="0.35">
      <c r="A7">
        <v>5</v>
      </c>
      <c r="B7">
        <v>133453477</v>
      </c>
      <c r="C7" s="1" t="s">
        <v>12</v>
      </c>
      <c r="D7" s="1" t="s">
        <v>8</v>
      </c>
      <c r="E7" s="2" t="s">
        <v>277</v>
      </c>
      <c r="F7" s="1" t="str">
        <f>combined_output_id__3[[#This Row],[y_pred]]</f>
        <v>Não</v>
      </c>
      <c r="G7" s="11">
        <f>IF(combined_output_id__3[[#This Row],[y_pred]]=combined_output_id__3[[#This Row],[Coluna1]],1,0)</f>
        <v>1</v>
      </c>
    </row>
    <row r="8" spans="1:7" x14ac:dyDescent="0.35">
      <c r="A8">
        <v>6</v>
      </c>
      <c r="B8">
        <v>133521863</v>
      </c>
      <c r="C8" s="1" t="s">
        <v>13</v>
      </c>
      <c r="D8" s="1" t="s">
        <v>8</v>
      </c>
      <c r="E8" s="2" t="s">
        <v>277</v>
      </c>
      <c r="F8" s="1" t="str">
        <f>combined_output_id__3[[#This Row],[y_pred]]</f>
        <v>Não</v>
      </c>
      <c r="G8" s="11">
        <f>IF(combined_output_id__3[[#This Row],[y_pred]]=combined_output_id__3[[#This Row],[Coluna1]],1,0)</f>
        <v>1</v>
      </c>
    </row>
    <row r="9" spans="1:7" x14ac:dyDescent="0.35">
      <c r="A9">
        <v>7</v>
      </c>
      <c r="B9">
        <v>133507449</v>
      </c>
      <c r="C9" s="1" t="s">
        <v>14</v>
      </c>
      <c r="D9" s="1" t="s">
        <v>6</v>
      </c>
      <c r="E9" s="2" t="s">
        <v>277</v>
      </c>
      <c r="F9" s="1" t="str">
        <f>combined_output_id__3[[#This Row],[y_pred]]</f>
        <v>blackfriday</v>
      </c>
      <c r="G9" s="11">
        <f>IF(combined_output_id__3[[#This Row],[y_pred]]=combined_output_id__3[[#This Row],[Coluna1]],1,0)</f>
        <v>1</v>
      </c>
    </row>
    <row r="10" spans="1:7" x14ac:dyDescent="0.35">
      <c r="A10">
        <v>8</v>
      </c>
      <c r="B10">
        <v>133465791</v>
      </c>
      <c r="C10" s="1" t="s">
        <v>15</v>
      </c>
      <c r="D10" s="1" t="s">
        <v>8</v>
      </c>
      <c r="E10" s="2" t="s">
        <v>277</v>
      </c>
      <c r="F10" s="1" t="str">
        <f>combined_output_id__3[[#This Row],[y_pred]]</f>
        <v>Não</v>
      </c>
      <c r="G10" s="11">
        <f>IF(combined_output_id__3[[#This Row],[y_pred]]=combined_output_id__3[[#This Row],[Coluna1]],1,0)</f>
        <v>1</v>
      </c>
    </row>
    <row r="11" spans="1:7" x14ac:dyDescent="0.35">
      <c r="A11" s="3">
        <v>9</v>
      </c>
      <c r="B11" s="3">
        <v>133569523</v>
      </c>
      <c r="C11" s="4" t="s">
        <v>16</v>
      </c>
      <c r="D11" s="4" t="s">
        <v>6</v>
      </c>
      <c r="E11" s="5" t="s">
        <v>279</v>
      </c>
      <c r="F11" s="3" t="s">
        <v>8</v>
      </c>
      <c r="G11" s="4">
        <f>IF(combined_output_id__3[[#This Row],[y_pred]]=combined_output_id__3[[#This Row],[Coluna1]],1,0)</f>
        <v>0</v>
      </c>
    </row>
    <row r="12" spans="1:7" x14ac:dyDescent="0.35">
      <c r="A12">
        <v>10</v>
      </c>
      <c r="B12">
        <v>133549919</v>
      </c>
      <c r="C12" s="1" t="s">
        <v>17</v>
      </c>
      <c r="D12" s="1" t="s">
        <v>8</v>
      </c>
      <c r="E12" s="2" t="s">
        <v>281</v>
      </c>
      <c r="F12" s="1" t="str">
        <f>combined_output_id__3[[#This Row],[y_pred]]</f>
        <v>Não</v>
      </c>
      <c r="G12" s="11">
        <f>IF(combined_output_id__3[[#This Row],[y_pred]]=combined_output_id__3[[#This Row],[Coluna1]],1,0)</f>
        <v>1</v>
      </c>
    </row>
    <row r="13" spans="1:7" x14ac:dyDescent="0.35">
      <c r="A13" s="3">
        <v>11</v>
      </c>
      <c r="B13" s="3">
        <v>133547109</v>
      </c>
      <c r="C13" s="4" t="s">
        <v>18</v>
      </c>
      <c r="D13" s="4" t="s">
        <v>6</v>
      </c>
      <c r="E13" s="5" t="s">
        <v>277</v>
      </c>
      <c r="F13" s="3" t="s">
        <v>8</v>
      </c>
      <c r="G13" s="4">
        <f>IF(combined_output_id__3[[#This Row],[y_pred]]=combined_output_id__3[[#This Row],[Coluna1]],1,0)</f>
        <v>0</v>
      </c>
    </row>
    <row r="14" spans="1:7" x14ac:dyDescent="0.35">
      <c r="A14" s="3">
        <v>12</v>
      </c>
      <c r="B14" s="3">
        <v>133468697</v>
      </c>
      <c r="C14" s="4" t="s">
        <v>19</v>
      </c>
      <c r="D14" s="4" t="s">
        <v>6</v>
      </c>
      <c r="E14" s="5" t="s">
        <v>282</v>
      </c>
      <c r="F14" s="3" t="s">
        <v>8</v>
      </c>
      <c r="G14" s="4">
        <f>IF(combined_output_id__3[[#This Row],[y_pred]]=combined_output_id__3[[#This Row],[Coluna1]],1,0)</f>
        <v>0</v>
      </c>
    </row>
    <row r="15" spans="1:7" x14ac:dyDescent="0.35">
      <c r="A15">
        <v>13</v>
      </c>
      <c r="B15">
        <v>133453003</v>
      </c>
      <c r="C15" s="1" t="s">
        <v>20</v>
      </c>
      <c r="D15" s="1" t="s">
        <v>6</v>
      </c>
      <c r="E15" s="2" t="s">
        <v>283</v>
      </c>
      <c r="F15" s="1" t="str">
        <f>combined_output_id__3[[#This Row],[y_pred]]</f>
        <v>blackfriday</v>
      </c>
      <c r="G15" s="11">
        <f>IF(combined_output_id__3[[#This Row],[y_pred]]=combined_output_id__3[[#This Row],[Coluna1]],1,0)</f>
        <v>1</v>
      </c>
    </row>
    <row r="16" spans="1:7" x14ac:dyDescent="0.35">
      <c r="A16">
        <v>14</v>
      </c>
      <c r="B16">
        <v>133502579</v>
      </c>
      <c r="C16" s="1" t="s">
        <v>21</v>
      </c>
      <c r="D16" s="1" t="s">
        <v>6</v>
      </c>
      <c r="E16" s="2" t="s">
        <v>284</v>
      </c>
      <c r="F16" s="1" t="str">
        <f>combined_output_id__3[[#This Row],[y_pred]]</f>
        <v>blackfriday</v>
      </c>
      <c r="G16" s="11">
        <f>IF(combined_output_id__3[[#This Row],[y_pred]]=combined_output_id__3[[#This Row],[Coluna1]],1,0)</f>
        <v>1</v>
      </c>
    </row>
    <row r="17" spans="1:7" x14ac:dyDescent="0.35">
      <c r="A17" s="3">
        <v>15</v>
      </c>
      <c r="B17" s="3">
        <v>133467979</v>
      </c>
      <c r="C17" s="4" t="s">
        <v>22</v>
      </c>
      <c r="D17" s="4" t="s">
        <v>8</v>
      </c>
      <c r="E17" s="5" t="s">
        <v>285</v>
      </c>
      <c r="F17" s="4" t="s">
        <v>6</v>
      </c>
      <c r="G17" s="4">
        <f>IF(combined_output_id__3[[#This Row],[y_pred]]=combined_output_id__3[[#This Row],[Coluna1]],1,0)</f>
        <v>0</v>
      </c>
    </row>
    <row r="18" spans="1:7" x14ac:dyDescent="0.35">
      <c r="A18">
        <v>16</v>
      </c>
      <c r="B18">
        <v>133522087</v>
      </c>
      <c r="C18" s="1" t="s">
        <v>23</v>
      </c>
      <c r="D18" s="1" t="s">
        <v>8</v>
      </c>
      <c r="E18" s="2" t="s">
        <v>282</v>
      </c>
      <c r="F18" s="1" t="str">
        <f>combined_output_id__3[[#This Row],[y_pred]]</f>
        <v>Não</v>
      </c>
      <c r="G18" s="11">
        <f>IF(combined_output_id__3[[#This Row],[y_pred]]=combined_output_id__3[[#This Row],[Coluna1]],1,0)</f>
        <v>1</v>
      </c>
    </row>
    <row r="19" spans="1:7" x14ac:dyDescent="0.35">
      <c r="A19">
        <v>17</v>
      </c>
      <c r="B19">
        <v>133515859</v>
      </c>
      <c r="C19" s="1" t="s">
        <v>24</v>
      </c>
      <c r="D19" s="1" t="s">
        <v>8</v>
      </c>
      <c r="E19" s="2" t="s">
        <v>286</v>
      </c>
      <c r="F19" s="1" t="str">
        <f>combined_output_id__3[[#This Row],[y_pred]]</f>
        <v>Não</v>
      </c>
      <c r="G19" s="11">
        <f>IF(combined_output_id__3[[#This Row],[y_pred]]=combined_output_id__3[[#This Row],[Coluna1]],1,0)</f>
        <v>1</v>
      </c>
    </row>
    <row r="20" spans="1:7" x14ac:dyDescent="0.35">
      <c r="A20">
        <v>18</v>
      </c>
      <c r="B20">
        <v>133517151</v>
      </c>
      <c r="C20" s="1" t="s">
        <v>25</v>
      </c>
      <c r="D20" s="1" t="s">
        <v>8</v>
      </c>
      <c r="E20" s="2" t="s">
        <v>287</v>
      </c>
      <c r="F20" s="1" t="str">
        <f>combined_output_id__3[[#This Row],[y_pred]]</f>
        <v>Não</v>
      </c>
      <c r="G20" s="11">
        <f>IF(combined_output_id__3[[#This Row],[y_pred]]=combined_output_id__3[[#This Row],[Coluna1]],1,0)</f>
        <v>1</v>
      </c>
    </row>
    <row r="21" spans="1:7" x14ac:dyDescent="0.35">
      <c r="A21">
        <v>19</v>
      </c>
      <c r="B21">
        <v>133547979</v>
      </c>
      <c r="C21" s="1" t="s">
        <v>26</v>
      </c>
      <c r="D21" s="1" t="s">
        <v>8</v>
      </c>
      <c r="E21" s="2" t="s">
        <v>279</v>
      </c>
      <c r="F21" s="1" t="str">
        <f>combined_output_id__3[[#This Row],[y_pred]]</f>
        <v>Não</v>
      </c>
      <c r="G21" s="11">
        <f>IF(combined_output_id__3[[#This Row],[y_pred]]=combined_output_id__3[[#This Row],[Coluna1]],1,0)</f>
        <v>1</v>
      </c>
    </row>
    <row r="22" spans="1:7" x14ac:dyDescent="0.35">
      <c r="A22">
        <v>20</v>
      </c>
      <c r="B22">
        <v>133501025</v>
      </c>
      <c r="C22" s="1" t="s">
        <v>27</v>
      </c>
      <c r="D22" s="1" t="s">
        <v>6</v>
      </c>
      <c r="E22" s="2" t="s">
        <v>288</v>
      </c>
      <c r="F22" s="1" t="str">
        <f>combined_output_id__3[[#This Row],[y_pred]]</f>
        <v>blackfriday</v>
      </c>
      <c r="G22" s="11">
        <f>IF(combined_output_id__3[[#This Row],[y_pred]]=combined_output_id__3[[#This Row],[Coluna1]],1,0)</f>
        <v>1</v>
      </c>
    </row>
    <row r="23" spans="1:7" x14ac:dyDescent="0.35">
      <c r="A23">
        <v>21</v>
      </c>
      <c r="B23">
        <v>133484979</v>
      </c>
      <c r="C23" s="1" t="s">
        <v>28</v>
      </c>
      <c r="D23" s="1" t="s">
        <v>6</v>
      </c>
      <c r="E23" s="2" t="s">
        <v>289</v>
      </c>
      <c r="F23" s="1" t="str">
        <f>combined_output_id__3[[#This Row],[y_pred]]</f>
        <v>blackfriday</v>
      </c>
      <c r="G23" s="11">
        <f>IF(combined_output_id__3[[#This Row],[y_pred]]=combined_output_id__3[[#This Row],[Coluna1]],1,0)</f>
        <v>1</v>
      </c>
    </row>
    <row r="24" spans="1:7" x14ac:dyDescent="0.35">
      <c r="A24">
        <v>22</v>
      </c>
      <c r="B24">
        <v>133536769</v>
      </c>
      <c r="C24" s="1" t="s">
        <v>29</v>
      </c>
      <c r="D24" s="1" t="s">
        <v>8</v>
      </c>
      <c r="E24" s="2" t="s">
        <v>277</v>
      </c>
      <c r="F24" s="1" t="str">
        <f>combined_output_id__3[[#This Row],[y_pred]]</f>
        <v>Não</v>
      </c>
      <c r="G24" s="11">
        <f>IF(combined_output_id__3[[#This Row],[y_pred]]=combined_output_id__3[[#This Row],[Coluna1]],1,0)</f>
        <v>1</v>
      </c>
    </row>
    <row r="25" spans="1:7" x14ac:dyDescent="0.35">
      <c r="A25" s="3">
        <v>23</v>
      </c>
      <c r="B25" s="3">
        <v>133534221</v>
      </c>
      <c r="C25" s="4" t="s">
        <v>30</v>
      </c>
      <c r="D25" s="4" t="s">
        <v>6</v>
      </c>
      <c r="E25" s="5" t="s">
        <v>278</v>
      </c>
      <c r="F25" s="3" t="s">
        <v>8</v>
      </c>
      <c r="G25" s="4">
        <f>IF(combined_output_id__3[[#This Row],[y_pred]]=combined_output_id__3[[#This Row],[Coluna1]],1,0)</f>
        <v>0</v>
      </c>
    </row>
    <row r="26" spans="1:7" x14ac:dyDescent="0.35">
      <c r="A26" s="3">
        <v>24</v>
      </c>
      <c r="B26" s="3">
        <v>133550929</v>
      </c>
      <c r="C26" s="4" t="s">
        <v>31</v>
      </c>
      <c r="D26" s="4" t="s">
        <v>6</v>
      </c>
      <c r="E26" s="5" t="s">
        <v>277</v>
      </c>
      <c r="F26" s="3" t="s">
        <v>8</v>
      </c>
      <c r="G26" s="4">
        <f>IF(combined_output_id__3[[#This Row],[y_pred]]=combined_output_id__3[[#This Row],[Coluna1]],1,0)</f>
        <v>0</v>
      </c>
    </row>
    <row r="27" spans="1:7" x14ac:dyDescent="0.35">
      <c r="A27">
        <v>25</v>
      </c>
      <c r="B27">
        <v>133543747</v>
      </c>
      <c r="C27" s="1" t="s">
        <v>32</v>
      </c>
      <c r="D27" s="1" t="s">
        <v>6</v>
      </c>
      <c r="E27" s="2" t="s">
        <v>277</v>
      </c>
      <c r="F27" s="1" t="str">
        <f>combined_output_id__3[[#This Row],[y_pred]]</f>
        <v>blackfriday</v>
      </c>
      <c r="G27" s="11">
        <f>IF(combined_output_id__3[[#This Row],[y_pred]]=combined_output_id__3[[#This Row],[Coluna1]],1,0)</f>
        <v>1</v>
      </c>
    </row>
    <row r="28" spans="1:7" x14ac:dyDescent="0.35">
      <c r="A28">
        <v>26</v>
      </c>
      <c r="B28">
        <v>133531285</v>
      </c>
      <c r="C28" s="1" t="s">
        <v>33</v>
      </c>
      <c r="D28" s="1" t="s">
        <v>6</v>
      </c>
      <c r="E28" s="2" t="s">
        <v>277</v>
      </c>
      <c r="F28" s="1" t="str">
        <f>combined_output_id__3[[#This Row],[y_pred]]</f>
        <v>blackfriday</v>
      </c>
      <c r="G28" s="11">
        <f>IF(combined_output_id__3[[#This Row],[y_pred]]=combined_output_id__3[[#This Row],[Coluna1]],1,0)</f>
        <v>1</v>
      </c>
    </row>
    <row r="29" spans="1:7" x14ac:dyDescent="0.35">
      <c r="A29">
        <v>27</v>
      </c>
      <c r="B29">
        <v>133575167</v>
      </c>
      <c r="C29" s="1" t="s">
        <v>34</v>
      </c>
      <c r="D29" s="1" t="s">
        <v>8</v>
      </c>
      <c r="E29" s="2" t="s">
        <v>287</v>
      </c>
      <c r="F29" s="1" t="str">
        <f>combined_output_id__3[[#This Row],[y_pred]]</f>
        <v>Não</v>
      </c>
      <c r="G29" s="11">
        <f>IF(combined_output_id__3[[#This Row],[y_pred]]=combined_output_id__3[[#This Row],[Coluna1]],1,0)</f>
        <v>1</v>
      </c>
    </row>
    <row r="30" spans="1:7" x14ac:dyDescent="0.35">
      <c r="A30">
        <v>28</v>
      </c>
      <c r="B30">
        <v>133481597</v>
      </c>
      <c r="C30" s="1" t="s">
        <v>35</v>
      </c>
      <c r="D30" s="1" t="s">
        <v>8</v>
      </c>
      <c r="E30" s="2" t="s">
        <v>277</v>
      </c>
      <c r="F30" s="1" t="str">
        <f>combined_output_id__3[[#This Row],[y_pred]]</f>
        <v>Não</v>
      </c>
      <c r="G30" s="11">
        <f>IF(combined_output_id__3[[#This Row],[y_pred]]=combined_output_id__3[[#This Row],[Coluna1]],1,0)</f>
        <v>1</v>
      </c>
    </row>
    <row r="31" spans="1:7" x14ac:dyDescent="0.35">
      <c r="A31" s="3">
        <v>29</v>
      </c>
      <c r="B31" s="3">
        <v>133517787</v>
      </c>
      <c r="C31" s="4" t="s">
        <v>36</v>
      </c>
      <c r="D31" s="4" t="s">
        <v>6</v>
      </c>
      <c r="E31" s="5" t="s">
        <v>277</v>
      </c>
      <c r="F31" s="3" t="s">
        <v>8</v>
      </c>
      <c r="G31" s="4">
        <f>IF(combined_output_id__3[[#This Row],[y_pred]]=combined_output_id__3[[#This Row],[Coluna1]],1,0)</f>
        <v>0</v>
      </c>
    </row>
    <row r="32" spans="1:7" x14ac:dyDescent="0.35">
      <c r="A32">
        <v>30</v>
      </c>
      <c r="B32">
        <v>133533681</v>
      </c>
      <c r="C32" s="1" t="s">
        <v>37</v>
      </c>
      <c r="D32" s="1" t="s">
        <v>8</v>
      </c>
      <c r="E32" s="2" t="s">
        <v>281</v>
      </c>
      <c r="F32" s="1" t="str">
        <f>combined_output_id__3[[#This Row],[y_pred]]</f>
        <v>Não</v>
      </c>
      <c r="G32" s="11">
        <f>IF(combined_output_id__3[[#This Row],[y_pred]]=combined_output_id__3[[#This Row],[Coluna1]],1,0)</f>
        <v>1</v>
      </c>
    </row>
    <row r="33" spans="1:7" x14ac:dyDescent="0.35">
      <c r="A33">
        <v>31</v>
      </c>
      <c r="B33">
        <v>133481351</v>
      </c>
      <c r="C33" s="1" t="s">
        <v>38</v>
      </c>
      <c r="D33" s="1" t="s">
        <v>8</v>
      </c>
      <c r="E33" s="2" t="s">
        <v>277</v>
      </c>
      <c r="F33" s="1" t="str">
        <f>combined_output_id__3[[#This Row],[y_pred]]</f>
        <v>Não</v>
      </c>
      <c r="G33" s="11">
        <f>IF(combined_output_id__3[[#This Row],[y_pred]]=combined_output_id__3[[#This Row],[Coluna1]],1,0)</f>
        <v>1</v>
      </c>
    </row>
    <row r="34" spans="1:7" x14ac:dyDescent="0.35">
      <c r="A34" s="3">
        <v>32</v>
      </c>
      <c r="B34" s="3">
        <v>133552887</v>
      </c>
      <c r="C34" s="4" t="s">
        <v>39</v>
      </c>
      <c r="D34" s="4" t="s">
        <v>8</v>
      </c>
      <c r="E34" s="5" t="s">
        <v>290</v>
      </c>
      <c r="F34" s="4" t="s">
        <v>6</v>
      </c>
      <c r="G34" s="4">
        <f>IF(combined_output_id__3[[#This Row],[y_pred]]=combined_output_id__3[[#This Row],[Coluna1]],1,0)</f>
        <v>0</v>
      </c>
    </row>
    <row r="35" spans="1:7" x14ac:dyDescent="0.35">
      <c r="A35">
        <v>33</v>
      </c>
      <c r="B35">
        <v>133571445</v>
      </c>
      <c r="C35" s="1" t="s">
        <v>40</v>
      </c>
      <c r="D35" s="1" t="s">
        <v>8</v>
      </c>
      <c r="E35" s="2" t="s">
        <v>291</v>
      </c>
      <c r="F35" s="1" t="str">
        <f>combined_output_id__3[[#This Row],[y_pred]]</f>
        <v>Não</v>
      </c>
      <c r="G35" s="11">
        <f>IF(combined_output_id__3[[#This Row],[y_pred]]=combined_output_id__3[[#This Row],[Coluna1]],1,0)</f>
        <v>1</v>
      </c>
    </row>
    <row r="36" spans="1:7" x14ac:dyDescent="0.35">
      <c r="A36">
        <v>34</v>
      </c>
      <c r="B36">
        <v>133524867</v>
      </c>
      <c r="C36" s="1" t="s">
        <v>41</v>
      </c>
      <c r="D36" s="1" t="s">
        <v>8</v>
      </c>
      <c r="E36" s="2" t="s">
        <v>292</v>
      </c>
      <c r="F36" s="1" t="str">
        <f>combined_output_id__3[[#This Row],[y_pred]]</f>
        <v>Não</v>
      </c>
      <c r="G36" s="11">
        <f>IF(combined_output_id__3[[#This Row],[y_pred]]=combined_output_id__3[[#This Row],[Coluna1]],1,0)</f>
        <v>1</v>
      </c>
    </row>
    <row r="37" spans="1:7" x14ac:dyDescent="0.35">
      <c r="A37">
        <v>35</v>
      </c>
      <c r="B37">
        <v>133543873</v>
      </c>
      <c r="C37" s="1" t="s">
        <v>42</v>
      </c>
      <c r="D37" s="1" t="s">
        <v>6</v>
      </c>
      <c r="E37" s="2" t="s">
        <v>277</v>
      </c>
      <c r="F37" s="1" t="str">
        <f>combined_output_id__3[[#This Row],[y_pred]]</f>
        <v>blackfriday</v>
      </c>
      <c r="G37" s="11">
        <f>IF(combined_output_id__3[[#This Row],[y_pred]]=combined_output_id__3[[#This Row],[Coluna1]],1,0)</f>
        <v>1</v>
      </c>
    </row>
    <row r="38" spans="1:7" x14ac:dyDescent="0.35">
      <c r="A38">
        <v>36</v>
      </c>
      <c r="B38">
        <v>133510385</v>
      </c>
      <c r="C38" s="1" t="s">
        <v>43</v>
      </c>
      <c r="D38" s="1" t="s">
        <v>8</v>
      </c>
      <c r="E38" s="2" t="s">
        <v>286</v>
      </c>
      <c r="F38" s="1" t="str">
        <f>combined_output_id__3[[#This Row],[y_pred]]</f>
        <v>Não</v>
      </c>
      <c r="G38" s="11">
        <f>IF(combined_output_id__3[[#This Row],[y_pred]]=combined_output_id__3[[#This Row],[Coluna1]],1,0)</f>
        <v>1</v>
      </c>
    </row>
    <row r="39" spans="1:7" x14ac:dyDescent="0.35">
      <c r="A39">
        <v>37</v>
      </c>
      <c r="B39">
        <v>133531273</v>
      </c>
      <c r="C39" s="1" t="s">
        <v>44</v>
      </c>
      <c r="D39" s="1" t="s">
        <v>6</v>
      </c>
      <c r="E39" s="2" t="s">
        <v>277</v>
      </c>
      <c r="F39" s="1" t="str">
        <f>combined_output_id__3[[#This Row],[y_pred]]</f>
        <v>blackfriday</v>
      </c>
      <c r="G39" s="11">
        <f>IF(combined_output_id__3[[#This Row],[y_pred]]=combined_output_id__3[[#This Row],[Coluna1]],1,0)</f>
        <v>1</v>
      </c>
    </row>
    <row r="40" spans="1:7" x14ac:dyDescent="0.35">
      <c r="A40" s="3">
        <v>38</v>
      </c>
      <c r="B40" s="3">
        <v>133538031</v>
      </c>
      <c r="C40" s="4" t="s">
        <v>45</v>
      </c>
      <c r="D40" s="4" t="s">
        <v>6</v>
      </c>
      <c r="E40" s="5" t="s">
        <v>293</v>
      </c>
      <c r="F40" s="3" t="s">
        <v>8</v>
      </c>
      <c r="G40" s="4">
        <f>IF(combined_output_id__3[[#This Row],[y_pred]]=combined_output_id__3[[#This Row],[Coluna1]],1,0)</f>
        <v>0</v>
      </c>
    </row>
    <row r="41" spans="1:7" x14ac:dyDescent="0.35">
      <c r="A41">
        <v>39</v>
      </c>
      <c r="B41">
        <v>133547733</v>
      </c>
      <c r="C41" s="1" t="s">
        <v>46</v>
      </c>
      <c r="D41" s="1" t="s">
        <v>6</v>
      </c>
      <c r="E41" s="2" t="s">
        <v>278</v>
      </c>
      <c r="F41" s="1" t="str">
        <f>combined_output_id__3[[#This Row],[y_pred]]</f>
        <v>blackfriday</v>
      </c>
      <c r="G41" s="11">
        <f>IF(combined_output_id__3[[#This Row],[y_pred]]=combined_output_id__3[[#This Row],[Coluna1]],1,0)</f>
        <v>1</v>
      </c>
    </row>
    <row r="42" spans="1:7" x14ac:dyDescent="0.35">
      <c r="A42">
        <v>40</v>
      </c>
      <c r="B42">
        <v>133488639</v>
      </c>
      <c r="C42" s="1" t="s">
        <v>47</v>
      </c>
      <c r="D42" s="1" t="s">
        <v>8</v>
      </c>
      <c r="E42" s="2" t="s">
        <v>277</v>
      </c>
      <c r="F42" s="1" t="str">
        <f>combined_output_id__3[[#This Row],[y_pred]]</f>
        <v>Não</v>
      </c>
      <c r="G42" s="11">
        <f>IF(combined_output_id__3[[#This Row],[y_pred]]=combined_output_id__3[[#This Row],[Coluna1]],1,0)</f>
        <v>1</v>
      </c>
    </row>
    <row r="43" spans="1:7" x14ac:dyDescent="0.35">
      <c r="A43">
        <v>41</v>
      </c>
      <c r="B43">
        <v>133559577</v>
      </c>
      <c r="C43" s="1" t="s">
        <v>48</v>
      </c>
      <c r="D43" s="1" t="s">
        <v>8</v>
      </c>
      <c r="E43" s="2" t="s">
        <v>278</v>
      </c>
      <c r="F43" s="1" t="str">
        <f>combined_output_id__3[[#This Row],[y_pred]]</f>
        <v>Não</v>
      </c>
      <c r="G43" s="11">
        <f>IF(combined_output_id__3[[#This Row],[y_pred]]=combined_output_id__3[[#This Row],[Coluna1]],1,0)</f>
        <v>1</v>
      </c>
    </row>
    <row r="44" spans="1:7" x14ac:dyDescent="0.35">
      <c r="A44">
        <v>42</v>
      </c>
      <c r="B44">
        <v>133504145</v>
      </c>
      <c r="C44" s="1" t="s">
        <v>49</v>
      </c>
      <c r="D44" s="1" t="s">
        <v>8</v>
      </c>
      <c r="E44" s="2" t="s">
        <v>283</v>
      </c>
      <c r="F44" s="1" t="str">
        <f>combined_output_id__3[[#This Row],[y_pred]]</f>
        <v>Não</v>
      </c>
      <c r="G44" s="11">
        <f>IF(combined_output_id__3[[#This Row],[y_pred]]=combined_output_id__3[[#This Row],[Coluna1]],1,0)</f>
        <v>1</v>
      </c>
    </row>
    <row r="45" spans="1:7" x14ac:dyDescent="0.35">
      <c r="A45">
        <v>43</v>
      </c>
      <c r="B45">
        <v>133543587</v>
      </c>
      <c r="C45" s="1" t="s">
        <v>50</v>
      </c>
      <c r="D45" s="1" t="s">
        <v>8</v>
      </c>
      <c r="E45" s="2" t="s">
        <v>277</v>
      </c>
      <c r="F45" s="1" t="str">
        <f>combined_output_id__3[[#This Row],[y_pred]]</f>
        <v>Não</v>
      </c>
      <c r="G45" s="11">
        <f>IF(combined_output_id__3[[#This Row],[y_pred]]=combined_output_id__3[[#This Row],[Coluna1]],1,0)</f>
        <v>1</v>
      </c>
    </row>
    <row r="46" spans="1:7" x14ac:dyDescent="0.35">
      <c r="A46" s="3">
        <v>44</v>
      </c>
      <c r="B46" s="3">
        <v>133543625</v>
      </c>
      <c r="C46" s="4" t="s">
        <v>51</v>
      </c>
      <c r="D46" s="4" t="s">
        <v>6</v>
      </c>
      <c r="E46" s="5" t="s">
        <v>281</v>
      </c>
      <c r="F46" s="3" t="s">
        <v>8</v>
      </c>
      <c r="G46" s="4">
        <f>IF(combined_output_id__3[[#This Row],[y_pred]]=combined_output_id__3[[#This Row],[Coluna1]],1,0)</f>
        <v>0</v>
      </c>
    </row>
    <row r="47" spans="1:7" x14ac:dyDescent="0.35">
      <c r="A47" s="3">
        <v>45</v>
      </c>
      <c r="B47" s="3">
        <v>133560903</v>
      </c>
      <c r="C47" s="4" t="s">
        <v>52</v>
      </c>
      <c r="D47" s="4" t="s">
        <v>6</v>
      </c>
      <c r="E47" s="5" t="s">
        <v>294</v>
      </c>
      <c r="F47" s="3" t="s">
        <v>8</v>
      </c>
      <c r="G47" s="4">
        <f>IF(combined_output_id__3[[#This Row],[y_pred]]=combined_output_id__3[[#This Row],[Coluna1]],1,0)</f>
        <v>0</v>
      </c>
    </row>
    <row r="48" spans="1:7" x14ac:dyDescent="0.35">
      <c r="A48">
        <v>46</v>
      </c>
      <c r="B48">
        <v>133469223</v>
      </c>
      <c r="C48" s="1" t="s">
        <v>53</v>
      </c>
      <c r="D48" s="1" t="s">
        <v>6</v>
      </c>
      <c r="E48" s="2" t="s">
        <v>295</v>
      </c>
      <c r="F48" s="1" t="str">
        <f>combined_output_id__3[[#This Row],[y_pred]]</f>
        <v>blackfriday</v>
      </c>
      <c r="G48" s="11">
        <f>IF(combined_output_id__3[[#This Row],[y_pred]]=combined_output_id__3[[#This Row],[Coluna1]],1,0)</f>
        <v>1</v>
      </c>
    </row>
    <row r="49" spans="1:7" x14ac:dyDescent="0.35">
      <c r="A49">
        <v>47</v>
      </c>
      <c r="B49">
        <v>133479875</v>
      </c>
      <c r="C49" s="1" t="s">
        <v>54</v>
      </c>
      <c r="D49" s="1" t="s">
        <v>8</v>
      </c>
      <c r="E49" s="2" t="s">
        <v>278</v>
      </c>
      <c r="F49" s="1" t="str">
        <f>combined_output_id__3[[#This Row],[y_pred]]</f>
        <v>Não</v>
      </c>
      <c r="G49" s="11">
        <f>IF(combined_output_id__3[[#This Row],[y_pred]]=combined_output_id__3[[#This Row],[Coluna1]],1,0)</f>
        <v>1</v>
      </c>
    </row>
    <row r="50" spans="1:7" x14ac:dyDescent="0.35">
      <c r="A50">
        <v>48</v>
      </c>
      <c r="B50">
        <v>133453267</v>
      </c>
      <c r="C50" s="1" t="s">
        <v>55</v>
      </c>
      <c r="D50" s="1" t="s">
        <v>8</v>
      </c>
      <c r="E50" s="2" t="s">
        <v>279</v>
      </c>
      <c r="F50" s="1" t="str">
        <f>combined_output_id__3[[#This Row],[y_pred]]</f>
        <v>Não</v>
      </c>
      <c r="G50" s="11">
        <f>IF(combined_output_id__3[[#This Row],[y_pred]]=combined_output_id__3[[#This Row],[Coluna1]],1,0)</f>
        <v>1</v>
      </c>
    </row>
    <row r="51" spans="1:7" x14ac:dyDescent="0.35">
      <c r="A51">
        <v>49</v>
      </c>
      <c r="B51">
        <v>133477453</v>
      </c>
      <c r="C51" s="1" t="s">
        <v>56</v>
      </c>
      <c r="D51" s="1" t="s">
        <v>8</v>
      </c>
      <c r="E51" s="2" t="s">
        <v>277</v>
      </c>
      <c r="F51" s="1" t="str">
        <f>combined_output_id__3[[#This Row],[y_pred]]</f>
        <v>Não</v>
      </c>
      <c r="G51" s="11">
        <f>IF(combined_output_id__3[[#This Row],[y_pred]]=combined_output_id__3[[#This Row],[Coluna1]],1,0)</f>
        <v>1</v>
      </c>
    </row>
    <row r="52" spans="1:7" x14ac:dyDescent="0.35">
      <c r="A52" s="3">
        <v>50</v>
      </c>
      <c r="B52" s="3">
        <v>133471493</v>
      </c>
      <c r="C52" s="4" t="s">
        <v>57</v>
      </c>
      <c r="D52" s="4" t="s">
        <v>6</v>
      </c>
      <c r="E52" s="5" t="s">
        <v>290</v>
      </c>
      <c r="F52" s="3" t="s">
        <v>8</v>
      </c>
      <c r="G52" s="4">
        <f>IF(combined_output_id__3[[#This Row],[y_pred]]=combined_output_id__3[[#This Row],[Coluna1]],1,0)</f>
        <v>0</v>
      </c>
    </row>
    <row r="53" spans="1:7" x14ac:dyDescent="0.35">
      <c r="A53">
        <v>51</v>
      </c>
      <c r="B53">
        <v>133548465</v>
      </c>
      <c r="C53" s="1" t="s">
        <v>58</v>
      </c>
      <c r="D53" s="1" t="s">
        <v>8</v>
      </c>
      <c r="E53" s="2" t="s">
        <v>290</v>
      </c>
      <c r="F53" s="1" t="str">
        <f>combined_output_id__3[[#This Row],[y_pred]]</f>
        <v>Não</v>
      </c>
      <c r="G53" s="11">
        <f>IF(combined_output_id__3[[#This Row],[y_pred]]=combined_output_id__3[[#This Row],[Coluna1]],1,0)</f>
        <v>1</v>
      </c>
    </row>
    <row r="54" spans="1:7" x14ac:dyDescent="0.35">
      <c r="A54" s="3">
        <v>52</v>
      </c>
      <c r="B54" s="3">
        <v>133460041</v>
      </c>
      <c r="C54" s="4" t="s">
        <v>59</v>
      </c>
      <c r="D54" s="4" t="s">
        <v>6</v>
      </c>
      <c r="E54" s="5" t="s">
        <v>277</v>
      </c>
      <c r="F54" s="3" t="s">
        <v>8</v>
      </c>
      <c r="G54" s="4">
        <f>IF(combined_output_id__3[[#This Row],[y_pred]]=combined_output_id__3[[#This Row],[Coluna1]],1,0)</f>
        <v>0</v>
      </c>
    </row>
    <row r="55" spans="1:7" x14ac:dyDescent="0.35">
      <c r="A55">
        <v>53</v>
      </c>
      <c r="B55">
        <v>133506455</v>
      </c>
      <c r="C55" s="1" t="s">
        <v>60</v>
      </c>
      <c r="D55" s="1" t="s">
        <v>8</v>
      </c>
      <c r="E55" s="2" t="s">
        <v>277</v>
      </c>
      <c r="F55" s="1" t="str">
        <f>combined_output_id__3[[#This Row],[y_pred]]</f>
        <v>Não</v>
      </c>
      <c r="G55" s="11">
        <f>IF(combined_output_id__3[[#This Row],[y_pred]]=combined_output_id__3[[#This Row],[Coluna1]],1,0)</f>
        <v>1</v>
      </c>
    </row>
    <row r="56" spans="1:7" x14ac:dyDescent="0.35">
      <c r="A56">
        <v>54</v>
      </c>
      <c r="B56">
        <v>133502783</v>
      </c>
      <c r="C56" s="1" t="s">
        <v>61</v>
      </c>
      <c r="D56" s="1" t="s">
        <v>8</v>
      </c>
      <c r="E56" s="2" t="s">
        <v>296</v>
      </c>
      <c r="F56" s="1" t="str">
        <f>combined_output_id__3[[#This Row],[y_pred]]</f>
        <v>Não</v>
      </c>
      <c r="G56" s="11">
        <f>IF(combined_output_id__3[[#This Row],[y_pred]]=combined_output_id__3[[#This Row],[Coluna1]],1,0)</f>
        <v>1</v>
      </c>
    </row>
    <row r="57" spans="1:7" x14ac:dyDescent="0.35">
      <c r="A57">
        <v>55</v>
      </c>
      <c r="B57">
        <v>133530645</v>
      </c>
      <c r="C57" s="1" t="s">
        <v>62</v>
      </c>
      <c r="D57" s="1" t="s">
        <v>6</v>
      </c>
      <c r="E57" s="2" t="s">
        <v>277</v>
      </c>
      <c r="F57" s="1" t="str">
        <f>combined_output_id__3[[#This Row],[y_pred]]</f>
        <v>blackfriday</v>
      </c>
      <c r="G57" s="11">
        <f>IF(combined_output_id__3[[#This Row],[y_pred]]=combined_output_id__3[[#This Row],[Coluna1]],1,0)</f>
        <v>1</v>
      </c>
    </row>
    <row r="58" spans="1:7" x14ac:dyDescent="0.35">
      <c r="A58" s="3">
        <v>56</v>
      </c>
      <c r="B58" s="3">
        <v>133467907</v>
      </c>
      <c r="C58" s="4" t="s">
        <v>63</v>
      </c>
      <c r="D58" s="4" t="s">
        <v>6</v>
      </c>
      <c r="E58" s="5" t="s">
        <v>297</v>
      </c>
      <c r="F58" s="3" t="s">
        <v>8</v>
      </c>
      <c r="G58" s="4">
        <f>IF(combined_output_id__3[[#This Row],[y_pred]]=combined_output_id__3[[#This Row],[Coluna1]],1,0)</f>
        <v>0</v>
      </c>
    </row>
    <row r="59" spans="1:7" x14ac:dyDescent="0.35">
      <c r="A59">
        <v>57</v>
      </c>
      <c r="B59">
        <v>133501227</v>
      </c>
      <c r="C59" s="1" t="s">
        <v>64</v>
      </c>
      <c r="D59" s="1" t="s">
        <v>8</v>
      </c>
      <c r="E59" s="2" t="s">
        <v>277</v>
      </c>
      <c r="F59" s="1" t="str">
        <f>combined_output_id__3[[#This Row],[y_pred]]</f>
        <v>Não</v>
      </c>
      <c r="G59" s="11">
        <f>IF(combined_output_id__3[[#This Row],[y_pred]]=combined_output_id__3[[#This Row],[Coluna1]],1,0)</f>
        <v>1</v>
      </c>
    </row>
    <row r="60" spans="1:7" x14ac:dyDescent="0.35">
      <c r="A60">
        <v>58</v>
      </c>
      <c r="B60">
        <v>133534783</v>
      </c>
      <c r="C60" s="1" t="s">
        <v>65</v>
      </c>
      <c r="D60" s="1" t="s">
        <v>8</v>
      </c>
      <c r="E60" s="2" t="s">
        <v>278</v>
      </c>
      <c r="F60" s="1" t="str">
        <f>combined_output_id__3[[#This Row],[y_pred]]</f>
        <v>Não</v>
      </c>
      <c r="G60" s="11">
        <f>IF(combined_output_id__3[[#This Row],[y_pred]]=combined_output_id__3[[#This Row],[Coluna1]],1,0)</f>
        <v>1</v>
      </c>
    </row>
    <row r="61" spans="1:7" x14ac:dyDescent="0.35">
      <c r="A61">
        <v>59</v>
      </c>
      <c r="B61">
        <v>133546687</v>
      </c>
      <c r="C61" s="1" t="s">
        <v>66</v>
      </c>
      <c r="D61" s="1" t="s">
        <v>8</v>
      </c>
      <c r="E61" s="2" t="s">
        <v>278</v>
      </c>
      <c r="F61" s="1" t="str">
        <f>combined_output_id__3[[#This Row],[y_pred]]</f>
        <v>Não</v>
      </c>
      <c r="G61" s="11">
        <f>IF(combined_output_id__3[[#This Row],[y_pred]]=combined_output_id__3[[#This Row],[Coluna1]],1,0)</f>
        <v>1</v>
      </c>
    </row>
    <row r="62" spans="1:7" x14ac:dyDescent="0.35">
      <c r="A62" s="3">
        <v>60</v>
      </c>
      <c r="B62" s="3">
        <v>133515003</v>
      </c>
      <c r="C62" s="4" t="s">
        <v>67</v>
      </c>
      <c r="D62" s="4" t="s">
        <v>6</v>
      </c>
      <c r="E62" s="5" t="s">
        <v>277</v>
      </c>
      <c r="F62" s="3" t="s">
        <v>8</v>
      </c>
      <c r="G62" s="4">
        <f>IF(combined_output_id__3[[#This Row],[y_pred]]=combined_output_id__3[[#This Row],[Coluna1]],1,0)</f>
        <v>0</v>
      </c>
    </row>
    <row r="63" spans="1:7" x14ac:dyDescent="0.35">
      <c r="A63" s="3">
        <v>61</v>
      </c>
      <c r="B63" s="3">
        <v>133549907</v>
      </c>
      <c r="C63" s="4" t="s">
        <v>68</v>
      </c>
      <c r="D63" s="4" t="s">
        <v>6</v>
      </c>
      <c r="E63" s="5" t="s">
        <v>289</v>
      </c>
      <c r="F63" s="3" t="s">
        <v>8</v>
      </c>
      <c r="G63" s="4">
        <f>IF(combined_output_id__3[[#This Row],[y_pred]]=combined_output_id__3[[#This Row],[Coluna1]],1,0)</f>
        <v>0</v>
      </c>
    </row>
    <row r="64" spans="1:7" x14ac:dyDescent="0.35">
      <c r="A64" s="3">
        <v>62</v>
      </c>
      <c r="B64" s="3">
        <v>133537191</v>
      </c>
      <c r="C64" s="4" t="s">
        <v>69</v>
      </c>
      <c r="D64" s="4" t="s">
        <v>6</v>
      </c>
      <c r="E64" s="5" t="s">
        <v>282</v>
      </c>
      <c r="F64" s="3" t="s">
        <v>8</v>
      </c>
      <c r="G64" s="4">
        <f>IF(combined_output_id__3[[#This Row],[y_pred]]=combined_output_id__3[[#This Row],[Coluna1]],1,0)</f>
        <v>0</v>
      </c>
    </row>
    <row r="65" spans="1:7" x14ac:dyDescent="0.35">
      <c r="A65" s="3">
        <v>63</v>
      </c>
      <c r="B65" s="3">
        <v>133450597</v>
      </c>
      <c r="C65" s="4" t="s">
        <v>70</v>
      </c>
      <c r="D65" s="4" t="s">
        <v>6</v>
      </c>
      <c r="E65" s="5" t="s">
        <v>298</v>
      </c>
      <c r="F65" s="3" t="s">
        <v>8</v>
      </c>
      <c r="G65" s="4">
        <f>IF(combined_output_id__3[[#This Row],[y_pred]]=combined_output_id__3[[#This Row],[Coluna1]],1,0)</f>
        <v>0</v>
      </c>
    </row>
    <row r="66" spans="1:7" x14ac:dyDescent="0.35">
      <c r="A66">
        <v>64</v>
      </c>
      <c r="B66">
        <v>133498135</v>
      </c>
      <c r="C66" s="1" t="s">
        <v>71</v>
      </c>
      <c r="D66" s="1" t="s">
        <v>6</v>
      </c>
      <c r="E66" s="2" t="s">
        <v>283</v>
      </c>
      <c r="F66" s="1" t="str">
        <f>combined_output_id__3[[#This Row],[y_pred]]</f>
        <v>blackfriday</v>
      </c>
      <c r="G66" s="11">
        <f>IF(combined_output_id__3[[#This Row],[y_pred]]=combined_output_id__3[[#This Row],[Coluna1]],1,0)</f>
        <v>1</v>
      </c>
    </row>
    <row r="67" spans="1:7" x14ac:dyDescent="0.35">
      <c r="A67">
        <v>65</v>
      </c>
      <c r="B67">
        <v>133450201</v>
      </c>
      <c r="C67" s="1" t="s">
        <v>72</v>
      </c>
      <c r="D67" s="1" t="s">
        <v>8</v>
      </c>
      <c r="E67" s="2" t="s">
        <v>299</v>
      </c>
      <c r="F67" s="1" t="str">
        <f>combined_output_id__3[[#This Row],[y_pred]]</f>
        <v>Não</v>
      </c>
      <c r="G67" s="11">
        <f>IF(combined_output_id__3[[#This Row],[y_pred]]=combined_output_id__3[[#This Row],[Coluna1]],1,0)</f>
        <v>1</v>
      </c>
    </row>
    <row r="68" spans="1:7" x14ac:dyDescent="0.35">
      <c r="A68">
        <v>66</v>
      </c>
      <c r="B68">
        <v>133495973</v>
      </c>
      <c r="C68" s="1" t="s">
        <v>73</v>
      </c>
      <c r="D68" s="1" t="s">
        <v>8</v>
      </c>
      <c r="E68" s="2" t="s">
        <v>281</v>
      </c>
      <c r="F68" s="1" t="str">
        <f>combined_output_id__3[[#This Row],[y_pred]]</f>
        <v>Não</v>
      </c>
      <c r="G68" s="11">
        <f>IF(combined_output_id__3[[#This Row],[y_pred]]=combined_output_id__3[[#This Row],[Coluna1]],1,0)</f>
        <v>1</v>
      </c>
    </row>
    <row r="69" spans="1:7" x14ac:dyDescent="0.35">
      <c r="A69" s="3">
        <v>67</v>
      </c>
      <c r="B69" s="3">
        <v>133489643</v>
      </c>
      <c r="C69" s="4" t="s">
        <v>74</v>
      </c>
      <c r="D69" s="4" t="s">
        <v>6</v>
      </c>
      <c r="E69" s="5" t="s">
        <v>295</v>
      </c>
      <c r="F69" s="3" t="s">
        <v>8</v>
      </c>
      <c r="G69" s="4">
        <f>IF(combined_output_id__3[[#This Row],[y_pred]]=combined_output_id__3[[#This Row],[Coluna1]],1,0)</f>
        <v>0</v>
      </c>
    </row>
    <row r="70" spans="1:7" x14ac:dyDescent="0.35">
      <c r="A70" s="3">
        <v>68</v>
      </c>
      <c r="B70" s="3">
        <v>133537049</v>
      </c>
      <c r="C70" s="4" t="s">
        <v>75</v>
      </c>
      <c r="D70" s="4" t="s">
        <v>8</v>
      </c>
      <c r="E70" s="5" t="s">
        <v>277</v>
      </c>
      <c r="F70" s="4" t="s">
        <v>6</v>
      </c>
      <c r="G70" s="4">
        <f>IF(combined_output_id__3[[#This Row],[y_pred]]=combined_output_id__3[[#This Row],[Coluna1]],1,0)</f>
        <v>0</v>
      </c>
    </row>
    <row r="71" spans="1:7" x14ac:dyDescent="0.35">
      <c r="A71">
        <v>69</v>
      </c>
      <c r="B71">
        <v>133542635</v>
      </c>
      <c r="C71" s="1" t="s">
        <v>76</v>
      </c>
      <c r="D71" s="1" t="s">
        <v>8</v>
      </c>
      <c r="E71" s="2" t="s">
        <v>297</v>
      </c>
      <c r="F71" s="1" t="str">
        <f>combined_output_id__3[[#This Row],[y_pred]]</f>
        <v>Não</v>
      </c>
      <c r="G71" s="11">
        <f>IF(combined_output_id__3[[#This Row],[y_pred]]=combined_output_id__3[[#This Row],[Coluna1]],1,0)</f>
        <v>1</v>
      </c>
    </row>
    <row r="72" spans="1:7" x14ac:dyDescent="0.35">
      <c r="A72">
        <v>70</v>
      </c>
      <c r="B72">
        <v>133528015</v>
      </c>
      <c r="C72" s="1" t="s">
        <v>77</v>
      </c>
      <c r="D72" s="1" t="s">
        <v>8</v>
      </c>
      <c r="E72" s="2" t="s">
        <v>300</v>
      </c>
      <c r="F72" s="1" t="str">
        <f>combined_output_id__3[[#This Row],[y_pred]]</f>
        <v>Não</v>
      </c>
      <c r="G72" s="11">
        <f>IF(combined_output_id__3[[#This Row],[y_pred]]=combined_output_id__3[[#This Row],[Coluna1]],1,0)</f>
        <v>1</v>
      </c>
    </row>
    <row r="73" spans="1:7" x14ac:dyDescent="0.35">
      <c r="A73">
        <v>71</v>
      </c>
      <c r="B73">
        <v>133544703</v>
      </c>
      <c r="C73" s="1" t="s">
        <v>78</v>
      </c>
      <c r="D73" s="1" t="s">
        <v>6</v>
      </c>
      <c r="E73" s="2" t="s">
        <v>283</v>
      </c>
      <c r="F73" s="1" t="str">
        <f>combined_output_id__3[[#This Row],[y_pred]]</f>
        <v>blackfriday</v>
      </c>
      <c r="G73" s="11">
        <f>IF(combined_output_id__3[[#This Row],[y_pred]]=combined_output_id__3[[#This Row],[Coluna1]],1,0)</f>
        <v>1</v>
      </c>
    </row>
    <row r="74" spans="1:7" x14ac:dyDescent="0.35">
      <c r="A74" s="3">
        <v>72</v>
      </c>
      <c r="B74" s="3">
        <v>133506919</v>
      </c>
      <c r="C74" s="4" t="s">
        <v>79</v>
      </c>
      <c r="D74" s="4" t="s">
        <v>6</v>
      </c>
      <c r="E74" s="5" t="s">
        <v>301</v>
      </c>
      <c r="F74" s="3" t="s">
        <v>8</v>
      </c>
      <c r="G74" s="4">
        <f>IF(combined_output_id__3[[#This Row],[y_pred]]=combined_output_id__3[[#This Row],[Coluna1]],1,0)</f>
        <v>0</v>
      </c>
    </row>
    <row r="75" spans="1:7" x14ac:dyDescent="0.35">
      <c r="A75" s="3">
        <v>73</v>
      </c>
      <c r="B75" s="3">
        <v>133518101</v>
      </c>
      <c r="C75" s="4" t="s">
        <v>80</v>
      </c>
      <c r="D75" s="4" t="s">
        <v>6</v>
      </c>
      <c r="E75" s="5" t="s">
        <v>277</v>
      </c>
      <c r="F75" s="3" t="s">
        <v>8</v>
      </c>
      <c r="G75" s="4">
        <f>IF(combined_output_id__3[[#This Row],[y_pred]]=combined_output_id__3[[#This Row],[Coluna1]],1,0)</f>
        <v>0</v>
      </c>
    </row>
    <row r="76" spans="1:7" x14ac:dyDescent="0.35">
      <c r="A76">
        <v>74</v>
      </c>
      <c r="B76">
        <v>133480505</v>
      </c>
      <c r="C76" s="1" t="s">
        <v>81</v>
      </c>
      <c r="D76" s="1" t="s">
        <v>8</v>
      </c>
      <c r="E76" s="2" t="s">
        <v>277</v>
      </c>
      <c r="F76" t="str">
        <f>VLOOKUP(B77,Planilha1!C:E,3,0)</f>
        <v>Não</v>
      </c>
      <c r="G76" s="11">
        <f>IF(combined_output_id__3[[#This Row],[y_pred]]=combined_output_id__3[[#This Row],[Coluna1]],1,0)</f>
        <v>1</v>
      </c>
    </row>
    <row r="77" spans="1:7" x14ac:dyDescent="0.35">
      <c r="A77">
        <v>75</v>
      </c>
      <c r="B77">
        <v>133456163</v>
      </c>
      <c r="C77" s="1" t="s">
        <v>82</v>
      </c>
      <c r="D77" s="1" t="s">
        <v>8</v>
      </c>
      <c r="E77" s="2" t="s">
        <v>277</v>
      </c>
      <c r="F77" t="str">
        <f>VLOOKUP(B78,Planilha1!C:E,3,0)</f>
        <v>Não</v>
      </c>
      <c r="G77" s="11">
        <f>IF(combined_output_id__3[[#This Row],[y_pred]]=combined_output_id__3[[#This Row],[Coluna1]],1,0)</f>
        <v>1</v>
      </c>
    </row>
    <row r="78" spans="1:7" x14ac:dyDescent="0.35">
      <c r="A78">
        <v>76</v>
      </c>
      <c r="B78">
        <v>133521545</v>
      </c>
      <c r="C78" s="1" t="s">
        <v>83</v>
      </c>
      <c r="D78" s="1" t="s">
        <v>8</v>
      </c>
      <c r="E78" s="2" t="s">
        <v>283</v>
      </c>
      <c r="F78" t="str">
        <f>VLOOKUP(B79,Planilha1!C:E,3,0)</f>
        <v>Não</v>
      </c>
      <c r="G78" s="11">
        <f>IF(combined_output_id__3[[#This Row],[y_pred]]=combined_output_id__3[[#This Row],[Coluna1]],1,0)</f>
        <v>1</v>
      </c>
    </row>
    <row r="79" spans="1:7" x14ac:dyDescent="0.35">
      <c r="A79" s="3">
        <v>77</v>
      </c>
      <c r="B79" s="3">
        <v>133504787</v>
      </c>
      <c r="C79" s="4" t="s">
        <v>84</v>
      </c>
      <c r="D79" s="4" t="s">
        <v>6</v>
      </c>
      <c r="E79" s="5" t="s">
        <v>277</v>
      </c>
      <c r="F79" s="3" t="str">
        <f>VLOOKUP(B80,Planilha1!C:E,3,0)</f>
        <v>Não</v>
      </c>
      <c r="G79" s="4">
        <f>IF(combined_output_id__3[[#This Row],[y_pred]]=combined_output_id__3[[#This Row],[Coluna1]],1,0)</f>
        <v>0</v>
      </c>
    </row>
    <row r="80" spans="1:7" x14ac:dyDescent="0.35">
      <c r="A80">
        <v>78</v>
      </c>
      <c r="B80">
        <v>133506535</v>
      </c>
      <c r="C80" s="1" t="s">
        <v>85</v>
      </c>
      <c r="D80" s="1" t="s">
        <v>8</v>
      </c>
      <c r="E80" s="2" t="s">
        <v>302</v>
      </c>
      <c r="F80" t="str">
        <f>VLOOKUP(B81,Planilha1!C:E,3,0)</f>
        <v>Não</v>
      </c>
      <c r="G80" s="11">
        <f>IF(combined_output_id__3[[#This Row],[y_pred]]=combined_output_id__3[[#This Row],[Coluna1]],1,0)</f>
        <v>1</v>
      </c>
    </row>
    <row r="81" spans="1:7" x14ac:dyDescent="0.35">
      <c r="A81">
        <v>79</v>
      </c>
      <c r="B81">
        <v>133546307</v>
      </c>
      <c r="C81" s="1" t="s">
        <v>86</v>
      </c>
      <c r="D81" s="1" t="s">
        <v>8</v>
      </c>
      <c r="E81" s="2" t="s">
        <v>278</v>
      </c>
      <c r="F81" t="str">
        <f>VLOOKUP(B82,Planilha1!C:E,3,0)</f>
        <v>Não</v>
      </c>
      <c r="G81" s="11">
        <f>IF(combined_output_id__3[[#This Row],[y_pred]]=combined_output_id__3[[#This Row],[Coluna1]],1,0)</f>
        <v>1</v>
      </c>
    </row>
    <row r="82" spans="1:7" x14ac:dyDescent="0.35">
      <c r="A82" s="3">
        <v>80</v>
      </c>
      <c r="B82" s="3">
        <v>133475387</v>
      </c>
      <c r="C82" s="4" t="s">
        <v>87</v>
      </c>
      <c r="D82" s="4" t="s">
        <v>6</v>
      </c>
      <c r="E82" s="5" t="s">
        <v>280</v>
      </c>
      <c r="F82" s="3" t="str">
        <f>VLOOKUP(B83,Planilha1!C:E,3,0)</f>
        <v>Não</v>
      </c>
      <c r="G82" s="4">
        <f>IF(combined_output_id__3[[#This Row],[y_pred]]=combined_output_id__3[[#This Row],[Coluna1]],1,0)</f>
        <v>0</v>
      </c>
    </row>
    <row r="83" spans="1:7" x14ac:dyDescent="0.35">
      <c r="A83">
        <v>81</v>
      </c>
      <c r="B83">
        <v>133472625</v>
      </c>
      <c r="C83" s="1" t="s">
        <v>88</v>
      </c>
      <c r="D83" s="1" t="s">
        <v>8</v>
      </c>
      <c r="E83" s="2" t="s">
        <v>278</v>
      </c>
      <c r="F83" t="str">
        <f>VLOOKUP(B84,Planilha1!C:E,3,0)</f>
        <v>Não</v>
      </c>
      <c r="G83" s="11">
        <f>IF(combined_output_id__3[[#This Row],[y_pred]]=combined_output_id__3[[#This Row],[Coluna1]],1,0)</f>
        <v>1</v>
      </c>
    </row>
    <row r="84" spans="1:7" x14ac:dyDescent="0.35">
      <c r="A84" s="3">
        <v>82</v>
      </c>
      <c r="B84" s="3">
        <v>133538969</v>
      </c>
      <c r="C84" s="4" t="s">
        <v>89</v>
      </c>
      <c r="D84" s="4" t="s">
        <v>6</v>
      </c>
      <c r="E84" s="5" t="s">
        <v>283</v>
      </c>
      <c r="F84" s="3" t="str">
        <f>VLOOKUP(B85,Planilha1!C:E,3,0)</f>
        <v>Não</v>
      </c>
      <c r="G84" s="4">
        <f>IF(combined_output_id__3[[#This Row],[y_pred]]=combined_output_id__3[[#This Row],[Coluna1]],1,0)</f>
        <v>0</v>
      </c>
    </row>
    <row r="85" spans="1:7" x14ac:dyDescent="0.35">
      <c r="A85">
        <v>83</v>
      </c>
      <c r="B85">
        <v>133464055</v>
      </c>
      <c r="C85" s="1" t="s">
        <v>90</v>
      </c>
      <c r="D85" s="1" t="s">
        <v>8</v>
      </c>
      <c r="E85" s="2" t="s">
        <v>303</v>
      </c>
      <c r="F85" t="str">
        <f>VLOOKUP(B86,Planilha1!C:E,3,0)</f>
        <v>Não</v>
      </c>
      <c r="G85" s="11">
        <f>IF(combined_output_id__3[[#This Row],[y_pred]]=combined_output_id__3[[#This Row],[Coluna1]],1,0)</f>
        <v>1</v>
      </c>
    </row>
    <row r="86" spans="1:7" x14ac:dyDescent="0.35">
      <c r="A86" s="3">
        <v>84</v>
      </c>
      <c r="B86" s="3">
        <v>133538675</v>
      </c>
      <c r="C86" s="4" t="s">
        <v>91</v>
      </c>
      <c r="D86" s="4" t="s">
        <v>6</v>
      </c>
      <c r="E86" s="5" t="s">
        <v>277</v>
      </c>
      <c r="F86" s="3" t="str">
        <f>VLOOKUP(B87,Planilha1!C:E,3,0)</f>
        <v>Não</v>
      </c>
      <c r="G86" s="4">
        <f>IF(combined_output_id__3[[#This Row],[y_pred]]=combined_output_id__3[[#This Row],[Coluna1]],1,0)</f>
        <v>0</v>
      </c>
    </row>
    <row r="87" spans="1:7" x14ac:dyDescent="0.35">
      <c r="A87">
        <v>85</v>
      </c>
      <c r="B87">
        <v>133529345</v>
      </c>
      <c r="C87" s="1" t="s">
        <v>92</v>
      </c>
      <c r="D87" s="1" t="s">
        <v>8</v>
      </c>
      <c r="E87" s="2" t="s">
        <v>299</v>
      </c>
      <c r="F87" t="str">
        <f>VLOOKUP(B88,Planilha1!C:E,3,0)</f>
        <v>Não</v>
      </c>
      <c r="G87" s="11">
        <f>IF(combined_output_id__3[[#This Row],[y_pred]]=combined_output_id__3[[#This Row],[Coluna1]],1,0)</f>
        <v>1</v>
      </c>
    </row>
    <row r="88" spans="1:7" x14ac:dyDescent="0.35">
      <c r="A88">
        <v>86</v>
      </c>
      <c r="B88">
        <v>133508701</v>
      </c>
      <c r="C88" s="1" t="s">
        <v>93</v>
      </c>
      <c r="D88" s="1" t="s">
        <v>6</v>
      </c>
      <c r="E88" s="2" t="s">
        <v>278</v>
      </c>
      <c r="F88" t="str">
        <f>VLOOKUP(B89,Planilha1!C:E,3,0)</f>
        <v>Blackfriday</v>
      </c>
      <c r="G88" s="11">
        <f>IF(combined_output_id__3[[#This Row],[y_pred]]=combined_output_id__3[[#This Row],[Coluna1]],1,0)</f>
        <v>1</v>
      </c>
    </row>
    <row r="89" spans="1:7" x14ac:dyDescent="0.35">
      <c r="A89" s="3">
        <v>87</v>
      </c>
      <c r="B89" s="3">
        <v>133483133</v>
      </c>
      <c r="C89" s="4" t="s">
        <v>94</v>
      </c>
      <c r="D89" s="4" t="s">
        <v>6</v>
      </c>
      <c r="E89" s="5" t="s">
        <v>290</v>
      </c>
      <c r="F89" s="3" t="str">
        <f>VLOOKUP(B90,Planilha1!C:E,3,0)</f>
        <v>Não</v>
      </c>
      <c r="G89" s="4">
        <f>IF(combined_output_id__3[[#This Row],[y_pred]]=combined_output_id__3[[#This Row],[Coluna1]],1,0)</f>
        <v>0</v>
      </c>
    </row>
    <row r="90" spans="1:7" x14ac:dyDescent="0.35">
      <c r="A90">
        <v>88</v>
      </c>
      <c r="B90">
        <v>133450609</v>
      </c>
      <c r="C90" s="1" t="s">
        <v>95</v>
      </c>
      <c r="D90" s="1" t="s">
        <v>8</v>
      </c>
      <c r="E90" s="2" t="s">
        <v>292</v>
      </c>
      <c r="F90" t="str">
        <f>VLOOKUP(B91,Planilha1!C:E,3,0)</f>
        <v>Não</v>
      </c>
      <c r="G90" s="11">
        <f>IF(combined_output_id__3[[#This Row],[y_pred]]=combined_output_id__3[[#This Row],[Coluna1]],1,0)</f>
        <v>1</v>
      </c>
    </row>
    <row r="91" spans="1:7" x14ac:dyDescent="0.35">
      <c r="A91">
        <v>89</v>
      </c>
      <c r="B91">
        <v>133504697</v>
      </c>
      <c r="C91" s="1" t="s">
        <v>96</v>
      </c>
      <c r="D91" s="1" t="s">
        <v>8</v>
      </c>
      <c r="E91" s="2" t="s">
        <v>304</v>
      </c>
      <c r="F91" t="str">
        <f>VLOOKUP(B92,Planilha1!C:E,3,0)</f>
        <v>Não</v>
      </c>
      <c r="G91" s="11">
        <f>IF(combined_output_id__3[[#This Row],[y_pred]]=combined_output_id__3[[#This Row],[Coluna1]],1,0)</f>
        <v>1</v>
      </c>
    </row>
    <row r="92" spans="1:7" x14ac:dyDescent="0.35">
      <c r="A92">
        <v>90</v>
      </c>
      <c r="B92">
        <v>133485779</v>
      </c>
      <c r="C92" s="1" t="s">
        <v>97</v>
      </c>
      <c r="D92" s="1" t="s">
        <v>8</v>
      </c>
      <c r="E92" s="2" t="s">
        <v>277</v>
      </c>
      <c r="F92" t="str">
        <f>VLOOKUP(B93,Planilha1!C:E,3,0)</f>
        <v>Não</v>
      </c>
      <c r="G92" s="11">
        <f>IF(combined_output_id__3[[#This Row],[y_pred]]=combined_output_id__3[[#This Row],[Coluna1]],1,0)</f>
        <v>1</v>
      </c>
    </row>
    <row r="93" spans="1:7" x14ac:dyDescent="0.35">
      <c r="A93">
        <v>91</v>
      </c>
      <c r="B93">
        <v>133478767</v>
      </c>
      <c r="C93" s="1" t="s">
        <v>98</v>
      </c>
      <c r="D93" s="1" t="s">
        <v>8</v>
      </c>
      <c r="E93" s="2" t="s">
        <v>296</v>
      </c>
      <c r="F93" t="str">
        <f>VLOOKUP(B94,Planilha1!C:E,3,0)</f>
        <v>Não</v>
      </c>
      <c r="G93" s="11">
        <f>IF(combined_output_id__3[[#This Row],[y_pred]]=combined_output_id__3[[#This Row],[Coluna1]],1,0)</f>
        <v>1</v>
      </c>
    </row>
    <row r="94" spans="1:7" x14ac:dyDescent="0.35">
      <c r="A94">
        <v>92</v>
      </c>
      <c r="B94">
        <v>133504175</v>
      </c>
      <c r="C94" s="1" t="s">
        <v>99</v>
      </c>
      <c r="D94" s="1" t="s">
        <v>8</v>
      </c>
      <c r="E94" s="2" t="s">
        <v>301</v>
      </c>
      <c r="F94" t="str">
        <f>VLOOKUP(B95,Planilha1!C:E,3,0)</f>
        <v>Não</v>
      </c>
      <c r="G94" s="11">
        <f>IF(combined_output_id__3[[#This Row],[y_pred]]=combined_output_id__3[[#This Row],[Coluna1]],1,0)</f>
        <v>1</v>
      </c>
    </row>
    <row r="95" spans="1:7" x14ac:dyDescent="0.35">
      <c r="A95">
        <v>93</v>
      </c>
      <c r="B95">
        <v>133473869</v>
      </c>
      <c r="C95" s="1" t="s">
        <v>100</v>
      </c>
      <c r="D95" s="1" t="s">
        <v>8</v>
      </c>
      <c r="E95" s="2" t="s">
        <v>277</v>
      </c>
      <c r="F95" t="str">
        <f>VLOOKUP(B96,Planilha1!C:E,3,0)</f>
        <v>Não</v>
      </c>
      <c r="G95" s="11">
        <f>IF(combined_output_id__3[[#This Row],[y_pred]]=combined_output_id__3[[#This Row],[Coluna1]],1,0)</f>
        <v>1</v>
      </c>
    </row>
    <row r="96" spans="1:7" x14ac:dyDescent="0.35">
      <c r="A96" s="3">
        <v>94</v>
      </c>
      <c r="B96" s="3">
        <v>133516657</v>
      </c>
      <c r="C96" s="4" t="s">
        <v>101</v>
      </c>
      <c r="D96" s="4" t="s">
        <v>8</v>
      </c>
      <c r="E96" s="5" t="s">
        <v>305</v>
      </c>
      <c r="F96" s="3" t="str">
        <f>VLOOKUP(B97,Planilha1!C:E,3,0)</f>
        <v>Blackfriday</v>
      </c>
      <c r="G96" s="4">
        <f>IF(combined_output_id__3[[#This Row],[y_pred]]=combined_output_id__3[[#This Row],[Coluna1]],1,0)</f>
        <v>0</v>
      </c>
    </row>
    <row r="97" spans="1:7" x14ac:dyDescent="0.35">
      <c r="A97" s="3">
        <v>95</v>
      </c>
      <c r="B97" s="3">
        <v>133540743</v>
      </c>
      <c r="C97" s="4" t="s">
        <v>102</v>
      </c>
      <c r="D97" s="4" t="s">
        <v>8</v>
      </c>
      <c r="E97" s="5" t="s">
        <v>277</v>
      </c>
      <c r="F97" s="3" t="str">
        <f>VLOOKUP(B98,Planilha1!C:E,3,0)</f>
        <v>Blackfriday</v>
      </c>
      <c r="G97" s="4">
        <f>IF(combined_output_id__3[[#This Row],[y_pred]]=combined_output_id__3[[#This Row],[Coluna1]],1,0)</f>
        <v>0</v>
      </c>
    </row>
    <row r="98" spans="1:7" x14ac:dyDescent="0.35">
      <c r="A98" s="3">
        <v>96</v>
      </c>
      <c r="B98" s="3">
        <v>133509233</v>
      </c>
      <c r="C98" s="4" t="s">
        <v>103</v>
      </c>
      <c r="D98" s="4" t="s">
        <v>6</v>
      </c>
      <c r="E98" s="5" t="s">
        <v>277</v>
      </c>
      <c r="F98" s="3" t="str">
        <f>VLOOKUP(B99,Planilha1!C:E,3,0)</f>
        <v>Não</v>
      </c>
      <c r="G98" s="4">
        <f>IF(combined_output_id__3[[#This Row],[y_pred]]=combined_output_id__3[[#This Row],[Coluna1]],1,0)</f>
        <v>0</v>
      </c>
    </row>
    <row r="99" spans="1:7" x14ac:dyDescent="0.35">
      <c r="A99">
        <v>97</v>
      </c>
      <c r="B99">
        <v>133546451</v>
      </c>
      <c r="C99" s="1" t="s">
        <v>104</v>
      </c>
      <c r="D99" s="1" t="s">
        <v>8</v>
      </c>
      <c r="E99" s="2" t="s">
        <v>289</v>
      </c>
      <c r="F99" t="str">
        <f>VLOOKUP(B100,Planilha1!C:E,3,0)</f>
        <v>Não</v>
      </c>
      <c r="G99" s="11">
        <f>IF(combined_output_id__3[[#This Row],[y_pred]]=combined_output_id__3[[#This Row],[Coluna1]],1,0)</f>
        <v>1</v>
      </c>
    </row>
    <row r="100" spans="1:7" x14ac:dyDescent="0.35">
      <c r="A100">
        <v>98</v>
      </c>
      <c r="B100">
        <v>133471635</v>
      </c>
      <c r="C100" s="1" t="s">
        <v>105</v>
      </c>
      <c r="D100" s="1" t="s">
        <v>8</v>
      </c>
      <c r="E100" s="2" t="s">
        <v>277</v>
      </c>
      <c r="F100" t="str">
        <f>VLOOKUP(B101,Planilha1!C:E,3,0)</f>
        <v>Não</v>
      </c>
      <c r="G100" s="11">
        <f>IF(combined_output_id__3[[#This Row],[y_pred]]=combined_output_id__3[[#This Row],[Coluna1]],1,0)</f>
        <v>1</v>
      </c>
    </row>
    <row r="101" spans="1:7" x14ac:dyDescent="0.35">
      <c r="A101" s="3">
        <v>99</v>
      </c>
      <c r="B101" s="3">
        <v>133524377</v>
      </c>
      <c r="C101" s="4" t="s">
        <v>106</v>
      </c>
      <c r="D101" s="4" t="s">
        <v>6</v>
      </c>
      <c r="E101" s="5" t="s">
        <v>299</v>
      </c>
      <c r="F101" s="3" t="str">
        <f>VLOOKUP(B102,Planilha1!C:E,3,0)</f>
        <v>Não</v>
      </c>
      <c r="G101" s="4">
        <f>IF(combined_output_id__3[[#This Row],[y_pred]]=combined_output_id__3[[#This Row],[Coluna1]],1,0)</f>
        <v>0</v>
      </c>
    </row>
    <row r="102" spans="1:7" x14ac:dyDescent="0.35">
      <c r="A102">
        <v>100</v>
      </c>
      <c r="B102">
        <v>133531653</v>
      </c>
      <c r="C102" s="1" t="s">
        <v>107</v>
      </c>
      <c r="D102" s="1" t="s">
        <v>8</v>
      </c>
      <c r="E102" s="2" t="s">
        <v>306</v>
      </c>
      <c r="F102" t="str">
        <f>VLOOKUP(B103,Planilha1!C:E,3,0)</f>
        <v>Não</v>
      </c>
      <c r="G102" s="11">
        <f>IF(combined_output_id__3[[#This Row],[y_pred]]=combined_output_id__3[[#This Row],[Coluna1]],1,0)</f>
        <v>1</v>
      </c>
    </row>
    <row r="103" spans="1:7" x14ac:dyDescent="0.35">
      <c r="A103" s="3">
        <v>101</v>
      </c>
      <c r="B103" s="3">
        <v>133464721</v>
      </c>
      <c r="C103" s="4" t="s">
        <v>108</v>
      </c>
      <c r="D103" s="4" t="s">
        <v>6</v>
      </c>
      <c r="E103" s="5" t="s">
        <v>281</v>
      </c>
      <c r="F103" s="3" t="str">
        <f>VLOOKUP(B104,Planilha1!C:E,3,0)</f>
        <v>Não</v>
      </c>
      <c r="G103" s="4">
        <f>IF(combined_output_id__3[[#This Row],[y_pred]]=combined_output_id__3[[#This Row],[Coluna1]],1,0)</f>
        <v>0</v>
      </c>
    </row>
    <row r="104" spans="1:7" x14ac:dyDescent="0.35">
      <c r="A104">
        <v>102</v>
      </c>
      <c r="B104">
        <v>133472611</v>
      </c>
      <c r="C104" s="1" t="s">
        <v>109</v>
      </c>
      <c r="D104" s="1" t="s">
        <v>8</v>
      </c>
      <c r="E104" s="2" t="s">
        <v>307</v>
      </c>
      <c r="F104" t="str">
        <f>VLOOKUP(B105,Planilha1!C:E,3,0)</f>
        <v>Não</v>
      </c>
      <c r="G104" s="11">
        <f>IF(combined_output_id__3[[#This Row],[y_pred]]=combined_output_id__3[[#This Row],[Coluna1]],1,0)</f>
        <v>1</v>
      </c>
    </row>
    <row r="105" spans="1:7" x14ac:dyDescent="0.35">
      <c r="A105">
        <v>103</v>
      </c>
      <c r="B105">
        <v>133483193</v>
      </c>
      <c r="C105" s="1" t="s">
        <v>110</v>
      </c>
      <c r="D105" s="1" t="s">
        <v>6</v>
      </c>
      <c r="E105" s="2" t="s">
        <v>294</v>
      </c>
      <c r="F105" t="str">
        <f>VLOOKUP(B106,Planilha1!C:E,3,0)</f>
        <v>Blackfriday</v>
      </c>
      <c r="G105" s="11">
        <f>IF(combined_output_id__3[[#This Row],[y_pred]]=combined_output_id__3[[#This Row],[Coluna1]],1,0)</f>
        <v>1</v>
      </c>
    </row>
    <row r="106" spans="1:7" x14ac:dyDescent="0.35">
      <c r="A106" s="3">
        <v>104</v>
      </c>
      <c r="B106" s="3">
        <v>133472813</v>
      </c>
      <c r="C106" s="4" t="s">
        <v>111</v>
      </c>
      <c r="D106" s="4" t="s">
        <v>6</v>
      </c>
      <c r="E106" s="5" t="s">
        <v>277</v>
      </c>
      <c r="F106" s="3" t="str">
        <f>VLOOKUP(B107,Planilha1!C:E,3,0)</f>
        <v>Não</v>
      </c>
      <c r="G106" s="4">
        <f>IF(combined_output_id__3[[#This Row],[y_pred]]=combined_output_id__3[[#This Row],[Coluna1]],1,0)</f>
        <v>0</v>
      </c>
    </row>
    <row r="107" spans="1:7" x14ac:dyDescent="0.35">
      <c r="A107" s="3">
        <v>105</v>
      </c>
      <c r="B107" s="3">
        <v>133453989</v>
      </c>
      <c r="C107" s="4" t="s">
        <v>112</v>
      </c>
      <c r="D107" s="4" t="s">
        <v>6</v>
      </c>
      <c r="E107" s="5" t="s">
        <v>296</v>
      </c>
      <c r="F107" s="3" t="str">
        <f>VLOOKUP(B108,Planilha1!C:E,3,0)</f>
        <v>Não</v>
      </c>
      <c r="G107" s="4">
        <f>IF(combined_output_id__3[[#This Row],[y_pred]]=combined_output_id__3[[#This Row],[Coluna1]],1,0)</f>
        <v>0</v>
      </c>
    </row>
    <row r="108" spans="1:7" x14ac:dyDescent="0.35">
      <c r="A108">
        <v>106</v>
      </c>
      <c r="B108">
        <v>133506245</v>
      </c>
      <c r="C108" s="1" t="s">
        <v>113</v>
      </c>
      <c r="D108" s="1" t="s">
        <v>8</v>
      </c>
      <c r="E108" s="2" t="s">
        <v>305</v>
      </c>
      <c r="F108" t="str">
        <f>VLOOKUP(B109,Planilha1!C:E,3,0)</f>
        <v>Não</v>
      </c>
      <c r="G108" s="11">
        <f>IF(combined_output_id__3[[#This Row],[y_pred]]=combined_output_id__3[[#This Row],[Coluna1]],1,0)</f>
        <v>1</v>
      </c>
    </row>
    <row r="109" spans="1:7" x14ac:dyDescent="0.35">
      <c r="A109" s="3">
        <v>107</v>
      </c>
      <c r="B109" s="3">
        <v>133502733</v>
      </c>
      <c r="C109" s="4" t="s">
        <v>114</v>
      </c>
      <c r="D109" s="4" t="s">
        <v>6</v>
      </c>
      <c r="E109" s="5" t="s">
        <v>308</v>
      </c>
      <c r="F109" s="3" t="str">
        <f>VLOOKUP(B110,Planilha1!C:E,3,0)</f>
        <v>Não</v>
      </c>
      <c r="G109" s="4">
        <f>IF(combined_output_id__3[[#This Row],[y_pred]]=combined_output_id__3[[#This Row],[Coluna1]],1,0)</f>
        <v>0</v>
      </c>
    </row>
    <row r="110" spans="1:7" x14ac:dyDescent="0.35">
      <c r="A110">
        <v>108</v>
      </c>
      <c r="B110">
        <v>133525885</v>
      </c>
      <c r="C110" s="1" t="s">
        <v>115</v>
      </c>
      <c r="D110" s="1" t="s">
        <v>8</v>
      </c>
      <c r="E110" s="2" t="s">
        <v>309</v>
      </c>
      <c r="F110" t="str">
        <f>VLOOKUP(B111,Planilha1!C:E,3,0)</f>
        <v>Não</v>
      </c>
      <c r="G110" s="11">
        <f>IF(combined_output_id__3[[#This Row],[y_pred]]=combined_output_id__3[[#This Row],[Coluna1]],1,0)</f>
        <v>1</v>
      </c>
    </row>
    <row r="111" spans="1:7" x14ac:dyDescent="0.35">
      <c r="A111" s="3">
        <v>109</v>
      </c>
      <c r="B111" s="3">
        <v>133499131</v>
      </c>
      <c r="C111" s="4" t="s">
        <v>116</v>
      </c>
      <c r="D111" s="4" t="s">
        <v>6</v>
      </c>
      <c r="E111" s="5" t="s">
        <v>278</v>
      </c>
      <c r="F111" s="3" t="str">
        <f>VLOOKUP(B112,Planilha1!C:E,3,0)</f>
        <v>Não</v>
      </c>
      <c r="G111" s="4">
        <f>IF(combined_output_id__3[[#This Row],[y_pred]]=combined_output_id__3[[#This Row],[Coluna1]],1,0)</f>
        <v>0</v>
      </c>
    </row>
    <row r="112" spans="1:7" x14ac:dyDescent="0.35">
      <c r="A112" s="3">
        <v>110</v>
      </c>
      <c r="B112" s="3">
        <v>133500353</v>
      </c>
      <c r="C112" s="4" t="s">
        <v>117</v>
      </c>
      <c r="D112" s="4" t="s">
        <v>6</v>
      </c>
      <c r="E112" s="5" t="s">
        <v>277</v>
      </c>
      <c r="F112" s="3" t="str">
        <f>VLOOKUP(B113,Planilha1!C:E,3,0)</f>
        <v>Não</v>
      </c>
      <c r="G112" s="4">
        <f>IF(combined_output_id__3[[#This Row],[y_pred]]=combined_output_id__3[[#This Row],[Coluna1]],1,0)</f>
        <v>0</v>
      </c>
    </row>
    <row r="113" spans="1:7" x14ac:dyDescent="0.35">
      <c r="A113" s="3">
        <v>111</v>
      </c>
      <c r="B113" s="3">
        <v>133503661</v>
      </c>
      <c r="C113" s="4" t="s">
        <v>118</v>
      </c>
      <c r="D113" s="4" t="s">
        <v>6</v>
      </c>
      <c r="E113" s="5" t="s">
        <v>306</v>
      </c>
      <c r="F113" s="3" t="str">
        <f>VLOOKUP(B114,Planilha1!C:E,3,0)</f>
        <v>Não</v>
      </c>
      <c r="G113" s="4">
        <f>IF(combined_output_id__3[[#This Row],[y_pred]]=combined_output_id__3[[#This Row],[Coluna1]],1,0)</f>
        <v>0</v>
      </c>
    </row>
    <row r="114" spans="1:7" x14ac:dyDescent="0.35">
      <c r="A114" s="3">
        <v>112</v>
      </c>
      <c r="B114" s="3">
        <v>133548013</v>
      </c>
      <c r="C114" s="4" t="s">
        <v>119</v>
      </c>
      <c r="D114" s="4" t="s">
        <v>8</v>
      </c>
      <c r="E114" s="5" t="s">
        <v>278</v>
      </c>
      <c r="F114" s="3" t="str">
        <f>VLOOKUP(B115,Planilha1!C:E,3,0)</f>
        <v>Blackfriday</v>
      </c>
      <c r="G114" s="4">
        <f>IF(combined_output_id__3[[#This Row],[y_pred]]=combined_output_id__3[[#This Row],[Coluna1]],1,0)</f>
        <v>0</v>
      </c>
    </row>
    <row r="115" spans="1:7" x14ac:dyDescent="0.35">
      <c r="A115" s="3">
        <v>113</v>
      </c>
      <c r="B115" s="3">
        <v>133538619</v>
      </c>
      <c r="C115" s="4" t="s">
        <v>120</v>
      </c>
      <c r="D115" s="4" t="s">
        <v>6</v>
      </c>
      <c r="E115" s="5" t="s">
        <v>279</v>
      </c>
      <c r="F115" s="3" t="str">
        <f>VLOOKUP(B116,Planilha1!C:E,3,0)</f>
        <v>Não</v>
      </c>
      <c r="G115" s="4">
        <f>IF(combined_output_id__3[[#This Row],[y_pred]]=combined_output_id__3[[#This Row],[Coluna1]],1,0)</f>
        <v>0</v>
      </c>
    </row>
    <row r="116" spans="1:7" x14ac:dyDescent="0.35">
      <c r="A116">
        <v>114</v>
      </c>
      <c r="B116">
        <v>133526689</v>
      </c>
      <c r="C116" s="1" t="s">
        <v>121</v>
      </c>
      <c r="D116" s="1" t="s">
        <v>6</v>
      </c>
      <c r="E116" s="2" t="s">
        <v>277</v>
      </c>
      <c r="F116" t="str">
        <f>VLOOKUP(B117,Planilha1!C:E,3,0)</f>
        <v>Blackfriday</v>
      </c>
      <c r="G116" s="11">
        <f>IF(combined_output_id__3[[#This Row],[y_pred]]=combined_output_id__3[[#This Row],[Coluna1]],1,0)</f>
        <v>1</v>
      </c>
    </row>
    <row r="117" spans="1:7" x14ac:dyDescent="0.35">
      <c r="A117" s="3">
        <v>115</v>
      </c>
      <c r="B117" s="3">
        <v>133475641</v>
      </c>
      <c r="C117" s="4" t="s">
        <v>122</v>
      </c>
      <c r="D117" s="4" t="s">
        <v>6</v>
      </c>
      <c r="E117" s="5" t="s">
        <v>277</v>
      </c>
      <c r="F117" s="3" t="str">
        <f>VLOOKUP(B118,Planilha1!C:E,3,0)</f>
        <v>Não</v>
      </c>
      <c r="G117" s="4">
        <f>IF(combined_output_id__3[[#This Row],[y_pred]]=combined_output_id__3[[#This Row],[Coluna1]],1,0)</f>
        <v>0</v>
      </c>
    </row>
    <row r="118" spans="1:7" x14ac:dyDescent="0.35">
      <c r="A118" s="3">
        <v>116</v>
      </c>
      <c r="B118" s="3">
        <v>133547539</v>
      </c>
      <c r="C118" s="4" t="s">
        <v>123</v>
      </c>
      <c r="D118" s="4" t="s">
        <v>6</v>
      </c>
      <c r="E118" s="5" t="s">
        <v>278</v>
      </c>
      <c r="F118" s="3" t="str">
        <f>VLOOKUP(B119,Planilha1!C:E,3,0)</f>
        <v>Não</v>
      </c>
      <c r="G118" s="4">
        <f>IF(combined_output_id__3[[#This Row],[y_pred]]=combined_output_id__3[[#This Row],[Coluna1]],1,0)</f>
        <v>0</v>
      </c>
    </row>
    <row r="119" spans="1:7" x14ac:dyDescent="0.35">
      <c r="A119" s="3">
        <v>117</v>
      </c>
      <c r="B119" s="3">
        <v>133467815</v>
      </c>
      <c r="C119" s="4" t="s">
        <v>124</v>
      </c>
      <c r="D119" s="4" t="s">
        <v>8</v>
      </c>
      <c r="E119" s="5" t="s">
        <v>277</v>
      </c>
      <c r="F119" s="3" t="str">
        <f>VLOOKUP(B120,Planilha1!C:E,3,0)</f>
        <v>Blackfriday</v>
      </c>
      <c r="G119" s="4">
        <f>IF(combined_output_id__3[[#This Row],[y_pred]]=combined_output_id__3[[#This Row],[Coluna1]],1,0)</f>
        <v>0</v>
      </c>
    </row>
    <row r="120" spans="1:7" x14ac:dyDescent="0.35">
      <c r="A120" s="3">
        <v>118</v>
      </c>
      <c r="B120" s="3">
        <v>133533917</v>
      </c>
      <c r="C120" s="4" t="s">
        <v>125</v>
      </c>
      <c r="D120" s="4" t="s">
        <v>8</v>
      </c>
      <c r="E120" s="5" t="s">
        <v>296</v>
      </c>
      <c r="F120" s="3" t="str">
        <f>VLOOKUP(B121,Planilha1!C:E,3,0)</f>
        <v>Blackfriday</v>
      </c>
      <c r="G120" s="4">
        <f>IF(combined_output_id__3[[#This Row],[y_pred]]=combined_output_id__3[[#This Row],[Coluna1]],1,0)</f>
        <v>0</v>
      </c>
    </row>
    <row r="121" spans="1:7" x14ac:dyDescent="0.35">
      <c r="A121" s="3">
        <v>119</v>
      </c>
      <c r="B121" s="3">
        <v>133475577</v>
      </c>
      <c r="C121" s="4" t="s">
        <v>126</v>
      </c>
      <c r="D121" s="4" t="s">
        <v>8</v>
      </c>
      <c r="E121" s="5" t="s">
        <v>293</v>
      </c>
      <c r="F121" s="3" t="str">
        <f>VLOOKUP(B122,Planilha1!C:E,3,0)</f>
        <v>Blackfriday</v>
      </c>
      <c r="G121" s="4">
        <f>IF(combined_output_id__3[[#This Row],[y_pred]]=combined_output_id__3[[#This Row],[Coluna1]],1,0)</f>
        <v>0</v>
      </c>
    </row>
    <row r="122" spans="1:7" x14ac:dyDescent="0.35">
      <c r="A122">
        <v>120</v>
      </c>
      <c r="B122">
        <v>133521479</v>
      </c>
      <c r="C122" s="1" t="s">
        <v>127</v>
      </c>
      <c r="D122" s="1" t="s">
        <v>8</v>
      </c>
      <c r="E122" s="2" t="s">
        <v>299</v>
      </c>
      <c r="F122" t="str">
        <f>VLOOKUP(B123,Planilha1!C:E,3,0)</f>
        <v>Não</v>
      </c>
      <c r="G122" s="11">
        <f>IF(combined_output_id__3[[#This Row],[y_pred]]=combined_output_id__3[[#This Row],[Coluna1]],1,0)</f>
        <v>1</v>
      </c>
    </row>
    <row r="123" spans="1:7" x14ac:dyDescent="0.35">
      <c r="A123">
        <v>121</v>
      </c>
      <c r="B123">
        <v>133480579</v>
      </c>
      <c r="C123" s="1" t="s">
        <v>128</v>
      </c>
      <c r="D123" s="1" t="s">
        <v>8</v>
      </c>
      <c r="E123" s="2" t="s">
        <v>281</v>
      </c>
      <c r="F123" t="str">
        <f>VLOOKUP(B124,Planilha1!C:E,3,0)</f>
        <v>Não</v>
      </c>
      <c r="G123" s="11">
        <f>IF(combined_output_id__3[[#This Row],[y_pred]]=combined_output_id__3[[#This Row],[Coluna1]],1,0)</f>
        <v>1</v>
      </c>
    </row>
    <row r="124" spans="1:7" x14ac:dyDescent="0.35">
      <c r="A124" s="3">
        <v>122</v>
      </c>
      <c r="B124" s="3">
        <v>133462817</v>
      </c>
      <c r="C124" s="4" t="s">
        <v>129</v>
      </c>
      <c r="D124" s="4" t="s">
        <v>8</v>
      </c>
      <c r="E124" s="5" t="s">
        <v>295</v>
      </c>
      <c r="F124" s="3" t="str">
        <f>VLOOKUP(B125,Planilha1!C:E,3,0)</f>
        <v>Blackfriday</v>
      </c>
      <c r="G124" s="4">
        <f>IF(combined_output_id__3[[#This Row],[y_pred]]=combined_output_id__3[[#This Row],[Coluna1]],1,0)</f>
        <v>0</v>
      </c>
    </row>
    <row r="125" spans="1:7" x14ac:dyDescent="0.35">
      <c r="A125" s="3">
        <v>123</v>
      </c>
      <c r="B125" s="3">
        <v>133540027</v>
      </c>
      <c r="C125" s="4" t="s">
        <v>130</v>
      </c>
      <c r="D125" s="4" t="s">
        <v>6</v>
      </c>
      <c r="E125" s="5" t="s">
        <v>310</v>
      </c>
      <c r="F125" s="3" t="str">
        <f>VLOOKUP(B126,Planilha1!C:E,3,0)</f>
        <v>Não</v>
      </c>
      <c r="G125" s="4">
        <f>IF(combined_output_id__3[[#This Row],[y_pred]]=combined_output_id__3[[#This Row],[Coluna1]],1,0)</f>
        <v>0</v>
      </c>
    </row>
    <row r="126" spans="1:7" x14ac:dyDescent="0.35">
      <c r="A126" s="3">
        <v>124</v>
      </c>
      <c r="B126" s="3">
        <v>133533249</v>
      </c>
      <c r="C126" s="4" t="s">
        <v>131</v>
      </c>
      <c r="D126" s="4" t="s">
        <v>6</v>
      </c>
      <c r="E126" s="5" t="s">
        <v>279</v>
      </c>
      <c r="F126" s="3" t="str">
        <f>VLOOKUP(B127,Planilha1!C:E,3,0)</f>
        <v>Não</v>
      </c>
      <c r="G126" s="4">
        <f>IF(combined_output_id__3[[#This Row],[y_pred]]=combined_output_id__3[[#This Row],[Coluna1]],1,0)</f>
        <v>0</v>
      </c>
    </row>
    <row r="127" spans="1:7" x14ac:dyDescent="0.35">
      <c r="A127">
        <v>125</v>
      </c>
      <c r="B127">
        <v>133483779</v>
      </c>
      <c r="C127" s="1" t="s">
        <v>132</v>
      </c>
      <c r="D127" s="1" t="s">
        <v>8</v>
      </c>
      <c r="E127" s="2" t="s">
        <v>277</v>
      </c>
      <c r="F127" t="str">
        <f>VLOOKUP(B128,Planilha1!C:E,3,0)</f>
        <v>Não</v>
      </c>
      <c r="G127" s="11">
        <f>IF(combined_output_id__3[[#This Row],[y_pred]]=combined_output_id__3[[#This Row],[Coluna1]],1,0)</f>
        <v>1</v>
      </c>
    </row>
    <row r="128" spans="1:7" x14ac:dyDescent="0.35">
      <c r="A128">
        <v>126</v>
      </c>
      <c r="B128">
        <v>133465315</v>
      </c>
      <c r="C128" s="1" t="s">
        <v>133</v>
      </c>
      <c r="D128" s="1" t="s">
        <v>8</v>
      </c>
      <c r="E128" s="2" t="s">
        <v>277</v>
      </c>
      <c r="F128" t="str">
        <f>VLOOKUP(B129,Planilha1!C:E,3,0)</f>
        <v>Não</v>
      </c>
      <c r="G128" s="11">
        <f>IF(combined_output_id__3[[#This Row],[y_pred]]=combined_output_id__3[[#This Row],[Coluna1]],1,0)</f>
        <v>1</v>
      </c>
    </row>
    <row r="129" spans="1:7" x14ac:dyDescent="0.35">
      <c r="A129">
        <v>127</v>
      </c>
      <c r="B129">
        <v>133504733</v>
      </c>
      <c r="C129" s="1" t="s">
        <v>134</v>
      </c>
      <c r="D129" s="1" t="s">
        <v>8</v>
      </c>
      <c r="E129" s="2" t="s">
        <v>311</v>
      </c>
      <c r="F129" t="str">
        <f>VLOOKUP(B130,Planilha1!C:E,3,0)</f>
        <v>Não</v>
      </c>
      <c r="G129" s="11">
        <f>IF(combined_output_id__3[[#This Row],[y_pred]]=combined_output_id__3[[#This Row],[Coluna1]],1,0)</f>
        <v>1</v>
      </c>
    </row>
    <row r="130" spans="1:7" x14ac:dyDescent="0.35">
      <c r="A130">
        <v>128</v>
      </c>
      <c r="B130">
        <v>133505221</v>
      </c>
      <c r="C130" s="1" t="s">
        <v>135</v>
      </c>
      <c r="D130" s="1" t="s">
        <v>8</v>
      </c>
      <c r="E130" s="2" t="s">
        <v>286</v>
      </c>
      <c r="F130" t="str">
        <f>VLOOKUP(B131,Planilha1!C:E,3,0)</f>
        <v>Não</v>
      </c>
      <c r="G130" s="11">
        <f>IF(combined_output_id__3[[#This Row],[y_pred]]=combined_output_id__3[[#This Row],[Coluna1]],1,0)</f>
        <v>1</v>
      </c>
    </row>
    <row r="131" spans="1:7" x14ac:dyDescent="0.35">
      <c r="A131" s="3">
        <v>129</v>
      </c>
      <c r="B131" s="3">
        <v>133466135</v>
      </c>
      <c r="C131" s="4" t="s">
        <v>136</v>
      </c>
      <c r="D131" s="4" t="s">
        <v>8</v>
      </c>
      <c r="E131" s="5" t="s">
        <v>292</v>
      </c>
      <c r="F131" s="3" t="str">
        <f>VLOOKUP(B132,Planilha1!C:E,3,0)</f>
        <v>Blackfriday</v>
      </c>
      <c r="G131" s="4">
        <f>IF(combined_output_id__3[[#This Row],[y_pred]]=combined_output_id__3[[#This Row],[Coluna1]],1,0)</f>
        <v>0</v>
      </c>
    </row>
    <row r="132" spans="1:7" x14ac:dyDescent="0.35">
      <c r="A132" s="3">
        <v>130</v>
      </c>
      <c r="B132" s="3">
        <v>133516869</v>
      </c>
      <c r="C132" s="4" t="s">
        <v>137</v>
      </c>
      <c r="D132" s="4" t="s">
        <v>6</v>
      </c>
      <c r="E132" s="5" t="s">
        <v>277</v>
      </c>
      <c r="F132" s="3" t="str">
        <f>VLOOKUP(B133,Planilha1!C:E,3,0)</f>
        <v>Não</v>
      </c>
      <c r="G132" s="4">
        <f>IF(combined_output_id__3[[#This Row],[y_pred]]=combined_output_id__3[[#This Row],[Coluna1]],1,0)</f>
        <v>0</v>
      </c>
    </row>
    <row r="133" spans="1:7" x14ac:dyDescent="0.35">
      <c r="A133" s="3">
        <v>131</v>
      </c>
      <c r="B133" s="3">
        <v>133471385</v>
      </c>
      <c r="C133" s="4" t="s">
        <v>138</v>
      </c>
      <c r="D133" s="4" t="s">
        <v>8</v>
      </c>
      <c r="E133" s="5" t="s">
        <v>277</v>
      </c>
      <c r="F133" s="3" t="str">
        <f>VLOOKUP(B134,Planilha1!C:E,3,0)</f>
        <v>Blackfriday</v>
      </c>
      <c r="G133" s="4">
        <f>IF(combined_output_id__3[[#This Row],[y_pred]]=combined_output_id__3[[#This Row],[Coluna1]],1,0)</f>
        <v>0</v>
      </c>
    </row>
    <row r="134" spans="1:7" x14ac:dyDescent="0.35">
      <c r="A134" s="3">
        <v>132</v>
      </c>
      <c r="B134" s="3">
        <v>133526051</v>
      </c>
      <c r="C134" s="4" t="s">
        <v>139</v>
      </c>
      <c r="D134" s="4" t="s">
        <v>6</v>
      </c>
      <c r="E134" s="5" t="s">
        <v>307</v>
      </c>
      <c r="F134" s="3" t="str">
        <f>VLOOKUP(B135,Planilha1!C:E,3,0)</f>
        <v>Não</v>
      </c>
      <c r="G134" s="4">
        <f>IF(combined_output_id__3[[#This Row],[y_pred]]=combined_output_id__3[[#This Row],[Coluna1]],1,0)</f>
        <v>0</v>
      </c>
    </row>
    <row r="135" spans="1:7" x14ac:dyDescent="0.35">
      <c r="A135" s="3">
        <v>133</v>
      </c>
      <c r="B135" s="3">
        <v>133452059</v>
      </c>
      <c r="C135" s="4" t="s">
        <v>140</v>
      </c>
      <c r="D135" s="4" t="s">
        <v>8</v>
      </c>
      <c r="E135" s="5" t="s">
        <v>299</v>
      </c>
      <c r="F135" s="3" t="str">
        <f>VLOOKUP(B136,Planilha1!C:E,3,0)</f>
        <v>Blackfriday</v>
      </c>
      <c r="G135" s="4">
        <f>IF(combined_output_id__3[[#This Row],[y_pred]]=combined_output_id__3[[#This Row],[Coluna1]],1,0)</f>
        <v>0</v>
      </c>
    </row>
    <row r="136" spans="1:7" x14ac:dyDescent="0.35">
      <c r="A136" s="3">
        <v>134</v>
      </c>
      <c r="B136" s="3">
        <v>133482501</v>
      </c>
      <c r="C136" s="4" t="s">
        <v>141</v>
      </c>
      <c r="D136" s="4" t="s">
        <v>6</v>
      </c>
      <c r="E136" s="5" t="s">
        <v>279</v>
      </c>
      <c r="F136" s="3" t="str">
        <f>VLOOKUP(B137,Planilha1!C:E,3,0)</f>
        <v>Não</v>
      </c>
      <c r="G136" s="4">
        <f>IF(combined_output_id__3[[#This Row],[y_pred]]=combined_output_id__3[[#This Row],[Coluna1]],1,0)</f>
        <v>0</v>
      </c>
    </row>
    <row r="137" spans="1:7" x14ac:dyDescent="0.35">
      <c r="A137">
        <v>135</v>
      </c>
      <c r="B137">
        <v>133459499</v>
      </c>
      <c r="C137" s="1" t="s">
        <v>142</v>
      </c>
      <c r="D137" s="1" t="s">
        <v>8</v>
      </c>
      <c r="E137" s="2" t="s">
        <v>283</v>
      </c>
      <c r="F137" t="str">
        <f>VLOOKUP(B138,Planilha1!C:E,3,0)</f>
        <v>Não</v>
      </c>
      <c r="G137" s="11">
        <f>IF(combined_output_id__3[[#This Row],[y_pred]]=combined_output_id__3[[#This Row],[Coluna1]],1,0)</f>
        <v>1</v>
      </c>
    </row>
    <row r="138" spans="1:7" x14ac:dyDescent="0.35">
      <c r="A138">
        <v>136</v>
      </c>
      <c r="B138">
        <v>133484997</v>
      </c>
      <c r="C138" s="1" t="s">
        <v>143</v>
      </c>
      <c r="D138" s="1" t="s">
        <v>8</v>
      </c>
      <c r="E138" s="2" t="s">
        <v>281</v>
      </c>
      <c r="F138" t="str">
        <f>VLOOKUP(B139,Planilha1!C:E,3,0)</f>
        <v>Não</v>
      </c>
      <c r="G138" s="11">
        <f>IF(combined_output_id__3[[#This Row],[y_pred]]=combined_output_id__3[[#This Row],[Coluna1]],1,0)</f>
        <v>1</v>
      </c>
    </row>
    <row r="139" spans="1:7" x14ac:dyDescent="0.35">
      <c r="A139" s="3">
        <v>137</v>
      </c>
      <c r="B139" s="3">
        <v>133478833</v>
      </c>
      <c r="C139" s="4" t="s">
        <v>144</v>
      </c>
      <c r="D139" s="4" t="s">
        <v>8</v>
      </c>
      <c r="E139" s="5" t="s">
        <v>283</v>
      </c>
      <c r="F139" s="3" t="str">
        <f>VLOOKUP(B140,Planilha1!C:E,3,0)</f>
        <v>Blackfriday</v>
      </c>
      <c r="G139" s="4">
        <f>IF(combined_output_id__3[[#This Row],[y_pred]]=combined_output_id__3[[#This Row],[Coluna1]],1,0)</f>
        <v>0</v>
      </c>
    </row>
    <row r="140" spans="1:7" x14ac:dyDescent="0.35">
      <c r="A140">
        <v>138</v>
      </c>
      <c r="B140">
        <v>133547603</v>
      </c>
      <c r="C140" s="1" t="s">
        <v>145</v>
      </c>
      <c r="D140" s="1" t="s">
        <v>6</v>
      </c>
      <c r="E140" s="2" t="s">
        <v>293</v>
      </c>
      <c r="F140" t="str">
        <f>VLOOKUP(B141,Planilha1!C:E,3,0)</f>
        <v>Blackfriday</v>
      </c>
      <c r="G140" s="11">
        <f>IF(combined_output_id__3[[#This Row],[y_pred]]=combined_output_id__3[[#This Row],[Coluna1]],1,0)</f>
        <v>1</v>
      </c>
    </row>
    <row r="141" spans="1:7" x14ac:dyDescent="0.35">
      <c r="A141" s="3">
        <v>139</v>
      </c>
      <c r="B141" s="3">
        <v>133532443</v>
      </c>
      <c r="C141" s="4" t="s">
        <v>146</v>
      </c>
      <c r="D141" s="4" t="s">
        <v>6</v>
      </c>
      <c r="E141" s="5" t="s">
        <v>277</v>
      </c>
      <c r="F141" s="3" t="str">
        <f>VLOOKUP(B142,Planilha1!C:E,3,0)</f>
        <v>Não</v>
      </c>
      <c r="G141" s="4">
        <f>IF(combined_output_id__3[[#This Row],[y_pred]]=combined_output_id__3[[#This Row],[Coluna1]],1,0)</f>
        <v>0</v>
      </c>
    </row>
    <row r="142" spans="1:7" x14ac:dyDescent="0.35">
      <c r="A142" s="3">
        <v>140</v>
      </c>
      <c r="B142" s="3">
        <v>133539449</v>
      </c>
      <c r="C142" s="4" t="s">
        <v>147</v>
      </c>
      <c r="D142" s="4" t="s">
        <v>6</v>
      </c>
      <c r="E142" s="5" t="s">
        <v>308</v>
      </c>
      <c r="F142" s="3" t="str">
        <f>VLOOKUP(B143,Planilha1!C:E,3,0)</f>
        <v>Não</v>
      </c>
      <c r="G142" s="4">
        <f>IF(combined_output_id__3[[#This Row],[y_pred]]=combined_output_id__3[[#This Row],[Coluna1]],1,0)</f>
        <v>0</v>
      </c>
    </row>
    <row r="143" spans="1:7" x14ac:dyDescent="0.35">
      <c r="A143" s="3">
        <v>141</v>
      </c>
      <c r="B143" s="3">
        <v>133499477</v>
      </c>
      <c r="C143" s="4" t="s">
        <v>148</v>
      </c>
      <c r="D143" s="4" t="s">
        <v>6</v>
      </c>
      <c r="E143" s="5" t="s">
        <v>303</v>
      </c>
      <c r="F143" s="3" t="str">
        <f>VLOOKUP(B144,Planilha1!C:E,3,0)</f>
        <v>Não</v>
      </c>
      <c r="G143" s="4">
        <f>IF(combined_output_id__3[[#This Row],[y_pred]]=combined_output_id__3[[#This Row],[Coluna1]],1,0)</f>
        <v>0</v>
      </c>
    </row>
    <row r="144" spans="1:7" x14ac:dyDescent="0.35">
      <c r="A144">
        <v>142</v>
      </c>
      <c r="B144">
        <v>133496619</v>
      </c>
      <c r="C144" s="1" t="s">
        <v>149</v>
      </c>
      <c r="D144" s="1" t="s">
        <v>8</v>
      </c>
      <c r="E144" s="2" t="s">
        <v>297</v>
      </c>
      <c r="F144" t="str">
        <f>VLOOKUP(B145,Planilha1!C:E,3,0)</f>
        <v>Não</v>
      </c>
      <c r="G144" s="11">
        <f>IF(combined_output_id__3[[#This Row],[y_pred]]=combined_output_id__3[[#This Row],[Coluna1]],1,0)</f>
        <v>1</v>
      </c>
    </row>
    <row r="145" spans="1:7" x14ac:dyDescent="0.35">
      <c r="A145" s="3">
        <v>143</v>
      </c>
      <c r="B145" s="3">
        <v>133524353</v>
      </c>
      <c r="C145" s="4" t="s">
        <v>150</v>
      </c>
      <c r="D145" s="4" t="s">
        <v>8</v>
      </c>
      <c r="E145" s="5" t="s">
        <v>312</v>
      </c>
      <c r="F145" s="3" t="str">
        <f>VLOOKUP(B146,Planilha1!C:E,3,0)</f>
        <v>Blackfriday</v>
      </c>
      <c r="G145" s="4">
        <f>IF(combined_output_id__3[[#This Row],[y_pred]]=combined_output_id__3[[#This Row],[Coluna1]],1,0)</f>
        <v>0</v>
      </c>
    </row>
    <row r="146" spans="1:7" x14ac:dyDescent="0.35">
      <c r="A146">
        <v>144</v>
      </c>
      <c r="B146">
        <v>133538469</v>
      </c>
      <c r="C146" s="1" t="s">
        <v>151</v>
      </c>
      <c r="D146" s="1" t="s">
        <v>6</v>
      </c>
      <c r="E146" s="2" t="s">
        <v>302</v>
      </c>
      <c r="F146" t="str">
        <f>VLOOKUP(B147,Planilha1!C:E,3,0)</f>
        <v>Blackfriday</v>
      </c>
      <c r="G146" s="11">
        <f>IF(combined_output_id__3[[#This Row],[y_pred]]=combined_output_id__3[[#This Row],[Coluna1]],1,0)</f>
        <v>1</v>
      </c>
    </row>
    <row r="147" spans="1:7" x14ac:dyDescent="0.35">
      <c r="A147" s="3">
        <v>145</v>
      </c>
      <c r="B147" s="3">
        <v>133540301</v>
      </c>
      <c r="C147" s="4" t="s">
        <v>152</v>
      </c>
      <c r="D147" s="4" t="s">
        <v>6</v>
      </c>
      <c r="E147" s="5" t="s">
        <v>294</v>
      </c>
      <c r="F147" s="3" t="str">
        <f>VLOOKUP(B148,Planilha1!C:E,3,0)</f>
        <v>Não</v>
      </c>
      <c r="G147" s="4">
        <f>IF(combined_output_id__3[[#This Row],[y_pred]]=combined_output_id__3[[#This Row],[Coluna1]],1,0)</f>
        <v>0</v>
      </c>
    </row>
    <row r="148" spans="1:7" x14ac:dyDescent="0.35">
      <c r="A148" s="3">
        <v>146</v>
      </c>
      <c r="B148" s="3">
        <v>133512513</v>
      </c>
      <c r="C148" s="4" t="s">
        <v>153</v>
      </c>
      <c r="D148" s="4" t="s">
        <v>6</v>
      </c>
      <c r="E148" s="5" t="s">
        <v>279</v>
      </c>
      <c r="F148" s="3" t="str">
        <f>VLOOKUP(B149,Planilha1!C:E,3,0)</f>
        <v>Não</v>
      </c>
      <c r="G148" s="4">
        <f>IF(combined_output_id__3[[#This Row],[y_pred]]=combined_output_id__3[[#This Row],[Coluna1]],1,0)</f>
        <v>0</v>
      </c>
    </row>
    <row r="149" spans="1:7" x14ac:dyDescent="0.35">
      <c r="A149" s="3">
        <v>147</v>
      </c>
      <c r="B149" s="3">
        <v>133529033</v>
      </c>
      <c r="C149" s="4" t="s">
        <v>154</v>
      </c>
      <c r="D149" s="4" t="s">
        <v>6</v>
      </c>
      <c r="E149" s="5" t="s">
        <v>313</v>
      </c>
      <c r="F149" s="3" t="str">
        <f>VLOOKUP(B150,Planilha1!C:E,3,0)</f>
        <v>Não</v>
      </c>
      <c r="G149" s="4">
        <f>IF(combined_output_id__3[[#This Row],[y_pred]]=combined_output_id__3[[#This Row],[Coluna1]],1,0)</f>
        <v>0</v>
      </c>
    </row>
    <row r="150" spans="1:7" x14ac:dyDescent="0.35">
      <c r="A150">
        <v>148</v>
      </c>
      <c r="B150">
        <v>133481903</v>
      </c>
      <c r="C150" s="1" t="s">
        <v>155</v>
      </c>
      <c r="D150" s="1" t="s">
        <v>8</v>
      </c>
      <c r="E150" s="2" t="s">
        <v>277</v>
      </c>
      <c r="F150" t="str">
        <f>VLOOKUP(B151,Planilha1!C:E,3,0)</f>
        <v>Não</v>
      </c>
      <c r="G150" s="11">
        <f>IF(combined_output_id__3[[#This Row],[y_pred]]=combined_output_id__3[[#This Row],[Coluna1]],1,0)</f>
        <v>1</v>
      </c>
    </row>
    <row r="151" spans="1:7" x14ac:dyDescent="0.35">
      <c r="A151">
        <v>149</v>
      </c>
      <c r="B151">
        <v>133549537</v>
      </c>
      <c r="C151" s="1" t="s">
        <v>156</v>
      </c>
      <c r="D151" s="1" t="s">
        <v>8</v>
      </c>
      <c r="E151" s="2" t="s">
        <v>287</v>
      </c>
      <c r="F151" t="str">
        <f>VLOOKUP(B152,Planilha1!C:E,3,0)</f>
        <v>Não</v>
      </c>
      <c r="G151" s="11">
        <f>IF(combined_output_id__3[[#This Row],[y_pred]]=combined_output_id__3[[#This Row],[Coluna1]],1,0)</f>
        <v>1</v>
      </c>
    </row>
    <row r="152" spans="1:7" x14ac:dyDescent="0.35">
      <c r="A152" s="3">
        <v>150</v>
      </c>
      <c r="B152" s="3">
        <v>133457473</v>
      </c>
      <c r="C152" s="4" t="s">
        <v>157</v>
      </c>
      <c r="D152" s="4" t="s">
        <v>8</v>
      </c>
      <c r="E152" s="5" t="s">
        <v>305</v>
      </c>
      <c r="F152" s="3" t="str">
        <f>VLOOKUP(B153,Planilha1!C:E,3,0)</f>
        <v>Blackfriday</v>
      </c>
      <c r="G152" s="4">
        <f>IF(combined_output_id__3[[#This Row],[y_pred]]=combined_output_id__3[[#This Row],[Coluna1]],1,0)</f>
        <v>0</v>
      </c>
    </row>
    <row r="153" spans="1:7" x14ac:dyDescent="0.35">
      <c r="A153" s="3">
        <v>151</v>
      </c>
      <c r="B153" s="3">
        <v>133527315</v>
      </c>
      <c r="C153" s="4" t="s">
        <v>158</v>
      </c>
      <c r="D153" s="4" t="s">
        <v>6</v>
      </c>
      <c r="E153" s="5" t="s">
        <v>279</v>
      </c>
      <c r="F153" s="3" t="str">
        <f>VLOOKUP(B154,Planilha1!C:E,3,0)</f>
        <v>Não</v>
      </c>
      <c r="G153" s="4">
        <f>IF(combined_output_id__3[[#This Row],[y_pred]]=combined_output_id__3[[#This Row],[Coluna1]],1,0)</f>
        <v>0</v>
      </c>
    </row>
    <row r="154" spans="1:7" x14ac:dyDescent="0.35">
      <c r="A154" s="3">
        <v>152</v>
      </c>
      <c r="B154" s="3">
        <v>133518895</v>
      </c>
      <c r="C154" s="4" t="s">
        <v>159</v>
      </c>
      <c r="D154" s="4" t="s">
        <v>8</v>
      </c>
      <c r="E154" s="5" t="s">
        <v>314</v>
      </c>
      <c r="F154" s="3" t="str">
        <f>VLOOKUP(B155,Planilha1!C:E,3,0)</f>
        <v>Blackfriday</v>
      </c>
      <c r="G154" s="4">
        <f>IF(combined_output_id__3[[#This Row],[y_pred]]=combined_output_id__3[[#This Row],[Coluna1]],1,0)</f>
        <v>0</v>
      </c>
    </row>
    <row r="155" spans="1:7" x14ac:dyDescent="0.35">
      <c r="A155">
        <v>153</v>
      </c>
      <c r="B155">
        <v>133525095</v>
      </c>
      <c r="C155" s="1" t="s">
        <v>160</v>
      </c>
      <c r="D155" s="1" t="s">
        <v>8</v>
      </c>
      <c r="E155" s="2" t="s">
        <v>296</v>
      </c>
      <c r="F155" t="str">
        <f>VLOOKUP(B156,Planilha1!C:E,3,0)</f>
        <v>Não</v>
      </c>
      <c r="G155" s="11">
        <f>IF(combined_output_id__3[[#This Row],[y_pred]]=combined_output_id__3[[#This Row],[Coluna1]],1,0)</f>
        <v>1</v>
      </c>
    </row>
    <row r="156" spans="1:7" x14ac:dyDescent="0.35">
      <c r="A156" s="3">
        <v>154</v>
      </c>
      <c r="B156" s="3">
        <v>133462905</v>
      </c>
      <c r="C156" s="4" t="s">
        <v>161</v>
      </c>
      <c r="D156" s="4" t="s">
        <v>6</v>
      </c>
      <c r="E156" s="5" t="s">
        <v>283</v>
      </c>
      <c r="F156" s="3" t="str">
        <f>VLOOKUP(B157,Planilha1!C:E,3,0)</f>
        <v>Não</v>
      </c>
      <c r="G156" s="4">
        <f>IF(combined_output_id__3[[#This Row],[y_pred]]=combined_output_id__3[[#This Row],[Coluna1]],1,0)</f>
        <v>0</v>
      </c>
    </row>
    <row r="157" spans="1:7" x14ac:dyDescent="0.35">
      <c r="A157">
        <v>155</v>
      </c>
      <c r="B157">
        <v>133502623</v>
      </c>
      <c r="C157" s="1" t="s">
        <v>162</v>
      </c>
      <c r="D157" s="1" t="s">
        <v>8</v>
      </c>
      <c r="E157" s="2" t="s">
        <v>315</v>
      </c>
      <c r="F157" t="str">
        <f>VLOOKUP(B158,Planilha1!C:E,3,0)</f>
        <v>Não</v>
      </c>
      <c r="G157" s="11">
        <f>IF(combined_output_id__3[[#This Row],[y_pred]]=combined_output_id__3[[#This Row],[Coluna1]],1,0)</f>
        <v>1</v>
      </c>
    </row>
    <row r="158" spans="1:7" x14ac:dyDescent="0.35">
      <c r="A158">
        <v>156</v>
      </c>
      <c r="B158">
        <v>133502175</v>
      </c>
      <c r="C158" s="1" t="s">
        <v>163</v>
      </c>
      <c r="D158" s="1" t="s">
        <v>8</v>
      </c>
      <c r="E158" s="2" t="s">
        <v>278</v>
      </c>
      <c r="F158" t="str">
        <f>VLOOKUP(B159,Planilha1!C:E,3,0)</f>
        <v>Não</v>
      </c>
      <c r="G158" s="11">
        <f>IF(combined_output_id__3[[#This Row],[y_pred]]=combined_output_id__3[[#This Row],[Coluna1]],1,0)</f>
        <v>1</v>
      </c>
    </row>
    <row r="159" spans="1:7" x14ac:dyDescent="0.35">
      <c r="A159">
        <v>157</v>
      </c>
      <c r="B159">
        <v>133521379</v>
      </c>
      <c r="C159" s="1" t="s">
        <v>164</v>
      </c>
      <c r="D159" s="1" t="s">
        <v>6</v>
      </c>
      <c r="E159" s="2" t="s">
        <v>296</v>
      </c>
      <c r="F159" t="str">
        <f>VLOOKUP(B160,Planilha1!C:E,3,0)</f>
        <v>Blackfriday</v>
      </c>
      <c r="G159" s="11">
        <f>IF(combined_output_id__3[[#This Row],[y_pred]]=combined_output_id__3[[#This Row],[Coluna1]],1,0)</f>
        <v>1</v>
      </c>
    </row>
    <row r="160" spans="1:7" x14ac:dyDescent="0.35">
      <c r="A160" s="3">
        <v>158</v>
      </c>
      <c r="B160" s="3">
        <v>133457299</v>
      </c>
      <c r="C160" s="4" t="s">
        <v>165</v>
      </c>
      <c r="D160" s="4" t="s">
        <v>8</v>
      </c>
      <c r="E160" s="5" t="s">
        <v>288</v>
      </c>
      <c r="F160" s="3" t="str">
        <f>VLOOKUP(B161,Planilha1!C:E,3,0)</f>
        <v>Blackfriday</v>
      </c>
      <c r="G160" s="4">
        <f>IF(combined_output_id__3[[#This Row],[y_pred]]=combined_output_id__3[[#This Row],[Coluna1]],1,0)</f>
        <v>0</v>
      </c>
    </row>
    <row r="161" spans="1:7" x14ac:dyDescent="0.35">
      <c r="A161" s="3">
        <v>159</v>
      </c>
      <c r="B161" s="3">
        <v>133546119</v>
      </c>
      <c r="C161" s="4" t="s">
        <v>166</v>
      </c>
      <c r="D161" s="4" t="s">
        <v>8</v>
      </c>
      <c r="E161" s="5" t="s">
        <v>281</v>
      </c>
      <c r="F161" s="3" t="str">
        <f>VLOOKUP(B162,Planilha1!C:E,3,0)</f>
        <v>Blackfriday</v>
      </c>
      <c r="G161" s="4">
        <f>IF(combined_output_id__3[[#This Row],[y_pred]]=combined_output_id__3[[#This Row],[Coluna1]],1,0)</f>
        <v>0</v>
      </c>
    </row>
    <row r="162" spans="1:7" x14ac:dyDescent="0.35">
      <c r="A162" s="3">
        <v>160</v>
      </c>
      <c r="B162" s="3">
        <v>133506659</v>
      </c>
      <c r="C162" s="4" t="s">
        <v>167</v>
      </c>
      <c r="D162" s="4" t="s">
        <v>6</v>
      </c>
      <c r="E162" s="5" t="s">
        <v>281</v>
      </c>
      <c r="F162" s="3" t="str">
        <f>VLOOKUP(B163,Planilha1!C:E,3,0)</f>
        <v>Não</v>
      </c>
      <c r="G162" s="4">
        <f>IF(combined_output_id__3[[#This Row],[y_pred]]=combined_output_id__3[[#This Row],[Coluna1]],1,0)</f>
        <v>0</v>
      </c>
    </row>
    <row r="163" spans="1:7" x14ac:dyDescent="0.35">
      <c r="A163">
        <v>161</v>
      </c>
      <c r="B163">
        <v>133489069</v>
      </c>
      <c r="C163" s="1" t="s">
        <v>168</v>
      </c>
      <c r="D163" s="1" t="s">
        <v>6</v>
      </c>
      <c r="E163" s="2" t="s">
        <v>283</v>
      </c>
      <c r="F163" t="str">
        <f>VLOOKUP(B164,Planilha1!C:E,3,0)</f>
        <v>Blackfriday</v>
      </c>
      <c r="G163" s="11">
        <f>IF(combined_output_id__3[[#This Row],[y_pred]]=combined_output_id__3[[#This Row],[Coluna1]],1,0)</f>
        <v>1</v>
      </c>
    </row>
    <row r="164" spans="1:7" x14ac:dyDescent="0.35">
      <c r="A164">
        <v>162</v>
      </c>
      <c r="B164">
        <v>133451273</v>
      </c>
      <c r="C164" s="1" t="s">
        <v>169</v>
      </c>
      <c r="D164" s="1" t="s">
        <v>8</v>
      </c>
      <c r="E164" s="2" t="s">
        <v>310</v>
      </c>
      <c r="F164" t="str">
        <f>VLOOKUP(B165,Planilha1!C:E,3,0)</f>
        <v>Não</v>
      </c>
      <c r="G164" s="11">
        <f>IF(combined_output_id__3[[#This Row],[y_pred]]=combined_output_id__3[[#This Row],[Coluna1]],1,0)</f>
        <v>1</v>
      </c>
    </row>
    <row r="165" spans="1:7" x14ac:dyDescent="0.35">
      <c r="A165">
        <v>163</v>
      </c>
      <c r="B165">
        <v>133520063</v>
      </c>
      <c r="C165" s="1" t="s">
        <v>170</v>
      </c>
      <c r="D165" s="1" t="s">
        <v>6</v>
      </c>
      <c r="E165" s="2" t="s">
        <v>278</v>
      </c>
      <c r="F165" t="str">
        <f>VLOOKUP(B166,Planilha1!C:E,3,0)</f>
        <v>Blackfriday</v>
      </c>
      <c r="G165" s="11">
        <f>IF(combined_output_id__3[[#This Row],[y_pred]]=combined_output_id__3[[#This Row],[Coluna1]],1,0)</f>
        <v>1</v>
      </c>
    </row>
    <row r="166" spans="1:7" x14ac:dyDescent="0.35">
      <c r="A166">
        <v>164</v>
      </c>
      <c r="B166">
        <v>133541111</v>
      </c>
      <c r="C166" s="1" t="s">
        <v>171</v>
      </c>
      <c r="D166" s="1" t="s">
        <v>6</v>
      </c>
      <c r="E166" s="2" t="s">
        <v>277</v>
      </c>
      <c r="F166" t="str">
        <f>VLOOKUP(B167,Planilha1!C:E,3,0)</f>
        <v>Blackfriday</v>
      </c>
      <c r="G166" s="11">
        <f>IF(combined_output_id__3[[#This Row],[y_pred]]=combined_output_id__3[[#This Row],[Coluna1]],1,0)</f>
        <v>1</v>
      </c>
    </row>
    <row r="167" spans="1:7" x14ac:dyDescent="0.35">
      <c r="A167" s="3">
        <v>165</v>
      </c>
      <c r="B167" s="3">
        <v>133527761</v>
      </c>
      <c r="C167" s="4" t="s">
        <v>172</v>
      </c>
      <c r="D167" s="4" t="s">
        <v>6</v>
      </c>
      <c r="E167" s="5" t="s">
        <v>277</v>
      </c>
      <c r="F167" s="3" t="str">
        <f>VLOOKUP(B168,Planilha1!C:E,3,0)</f>
        <v>Não</v>
      </c>
      <c r="G167" s="4">
        <f>IF(combined_output_id__3[[#This Row],[y_pred]]=combined_output_id__3[[#This Row],[Coluna1]],1,0)</f>
        <v>0</v>
      </c>
    </row>
    <row r="168" spans="1:7" x14ac:dyDescent="0.35">
      <c r="A168">
        <v>166</v>
      </c>
      <c r="B168">
        <v>133543015</v>
      </c>
      <c r="C168" s="1" t="s">
        <v>173</v>
      </c>
      <c r="D168" s="1" t="s">
        <v>6</v>
      </c>
      <c r="E168" s="2" t="s">
        <v>277</v>
      </c>
      <c r="F168" t="str">
        <f>VLOOKUP(B169,Planilha1!C:E,3,0)</f>
        <v>Blackfriday</v>
      </c>
      <c r="G168" s="11">
        <f>IF(combined_output_id__3[[#This Row],[y_pred]]=combined_output_id__3[[#This Row],[Coluna1]],1,0)</f>
        <v>1</v>
      </c>
    </row>
    <row r="169" spans="1:7" x14ac:dyDescent="0.35">
      <c r="A169" s="3">
        <v>167</v>
      </c>
      <c r="B169" s="3">
        <v>133537651</v>
      </c>
      <c r="C169" s="4" t="s">
        <v>174</v>
      </c>
      <c r="D169" s="4" t="s">
        <v>6</v>
      </c>
      <c r="E169" s="5" t="s">
        <v>277</v>
      </c>
      <c r="F169" s="3" t="str">
        <f>VLOOKUP(B170,Planilha1!C:E,3,0)</f>
        <v>Não</v>
      </c>
      <c r="G169" s="4">
        <f>IF(combined_output_id__3[[#This Row],[y_pred]]=combined_output_id__3[[#This Row],[Coluna1]],1,0)</f>
        <v>0</v>
      </c>
    </row>
    <row r="170" spans="1:7" x14ac:dyDescent="0.35">
      <c r="A170" s="3">
        <v>168</v>
      </c>
      <c r="B170" s="3">
        <v>133499881</v>
      </c>
      <c r="C170" s="4" t="s">
        <v>175</v>
      </c>
      <c r="D170" s="4" t="s">
        <v>6</v>
      </c>
      <c r="E170" s="5" t="s">
        <v>279</v>
      </c>
      <c r="F170" s="3" t="str">
        <f>VLOOKUP(B171,Planilha1!C:E,3,0)</f>
        <v>Não</v>
      </c>
      <c r="G170" s="4">
        <f>IF(combined_output_id__3[[#This Row],[y_pred]]=combined_output_id__3[[#This Row],[Coluna1]],1,0)</f>
        <v>0</v>
      </c>
    </row>
    <row r="171" spans="1:7" x14ac:dyDescent="0.35">
      <c r="A171">
        <v>169</v>
      </c>
      <c r="B171">
        <v>133547341</v>
      </c>
      <c r="C171" s="1" t="s">
        <v>176</v>
      </c>
      <c r="D171" s="1" t="s">
        <v>8</v>
      </c>
      <c r="E171" s="2" t="s">
        <v>279</v>
      </c>
      <c r="F171" t="str">
        <f>VLOOKUP(B172,Planilha1!C:E,3,0)</f>
        <v>Não</v>
      </c>
      <c r="G171" s="11">
        <f>IF(combined_output_id__3[[#This Row],[y_pred]]=combined_output_id__3[[#This Row],[Coluna1]],1,0)</f>
        <v>1</v>
      </c>
    </row>
    <row r="172" spans="1:7" x14ac:dyDescent="0.35">
      <c r="A172" s="3">
        <v>170</v>
      </c>
      <c r="B172" s="3">
        <v>133506731</v>
      </c>
      <c r="C172" s="4" t="s">
        <v>177</v>
      </c>
      <c r="D172" s="4" t="s">
        <v>8</v>
      </c>
      <c r="E172" s="5" t="s">
        <v>316</v>
      </c>
      <c r="F172" s="3" t="str">
        <f>VLOOKUP(B173,Planilha1!C:E,3,0)</f>
        <v>Blackfriday</v>
      </c>
      <c r="G172" s="4">
        <f>IF(combined_output_id__3[[#This Row],[y_pred]]=combined_output_id__3[[#This Row],[Coluna1]],1,0)</f>
        <v>0</v>
      </c>
    </row>
    <row r="173" spans="1:7" x14ac:dyDescent="0.35">
      <c r="A173" s="3">
        <v>171</v>
      </c>
      <c r="B173" s="3">
        <v>133452755</v>
      </c>
      <c r="C173" s="4" t="s">
        <v>178</v>
      </c>
      <c r="D173" s="4" t="s">
        <v>6</v>
      </c>
      <c r="E173" s="5" t="s">
        <v>277</v>
      </c>
      <c r="F173" s="3" t="str">
        <f>VLOOKUP(B174,Planilha1!C:E,3,0)</f>
        <v>Não</v>
      </c>
      <c r="G173" s="4">
        <f>IF(combined_output_id__3[[#This Row],[y_pred]]=combined_output_id__3[[#This Row],[Coluna1]],1,0)</f>
        <v>0</v>
      </c>
    </row>
    <row r="174" spans="1:7" x14ac:dyDescent="0.35">
      <c r="A174" s="3">
        <v>172</v>
      </c>
      <c r="B174" s="3">
        <v>133452495</v>
      </c>
      <c r="C174" s="4" t="s">
        <v>179</v>
      </c>
      <c r="D174" s="4" t="s">
        <v>6</v>
      </c>
      <c r="E174" s="5" t="s">
        <v>279</v>
      </c>
      <c r="F174" s="3" t="str">
        <f>VLOOKUP(B175,Planilha1!C:E,3,0)</f>
        <v>Não</v>
      </c>
      <c r="G174" s="4">
        <f>IF(combined_output_id__3[[#This Row],[y_pred]]=combined_output_id__3[[#This Row],[Coluna1]],1,0)</f>
        <v>0</v>
      </c>
    </row>
    <row r="175" spans="1:7" x14ac:dyDescent="0.35">
      <c r="A175">
        <v>173</v>
      </c>
      <c r="B175">
        <v>133485433</v>
      </c>
      <c r="C175" s="1" t="s">
        <v>180</v>
      </c>
      <c r="D175" s="1" t="s">
        <v>6</v>
      </c>
      <c r="E175" s="2" t="s">
        <v>277</v>
      </c>
      <c r="F175" t="str">
        <f>VLOOKUP(B176,Planilha1!C:E,3,0)</f>
        <v>Blackfriday</v>
      </c>
      <c r="G175" s="11">
        <f>IF(combined_output_id__3[[#This Row],[y_pred]]=combined_output_id__3[[#This Row],[Coluna1]],1,0)</f>
        <v>1</v>
      </c>
    </row>
    <row r="176" spans="1:7" x14ac:dyDescent="0.35">
      <c r="A176">
        <v>174</v>
      </c>
      <c r="B176">
        <v>133516313</v>
      </c>
      <c r="C176" s="1" t="s">
        <v>181</v>
      </c>
      <c r="D176" s="1" t="s">
        <v>8</v>
      </c>
      <c r="E176" s="2" t="s">
        <v>278</v>
      </c>
      <c r="F176" t="str">
        <f>VLOOKUP(B177,Planilha1!C:E,3,0)</f>
        <v>Não</v>
      </c>
      <c r="G176" s="11">
        <f>IF(combined_output_id__3[[#This Row],[y_pred]]=combined_output_id__3[[#This Row],[Coluna1]],1,0)</f>
        <v>1</v>
      </c>
    </row>
    <row r="177" spans="1:7" x14ac:dyDescent="0.35">
      <c r="A177" s="3">
        <v>175</v>
      </c>
      <c r="B177" s="3">
        <v>133506547</v>
      </c>
      <c r="C177" s="4" t="s">
        <v>182</v>
      </c>
      <c r="D177" s="4" t="s">
        <v>6</v>
      </c>
      <c r="E177" s="5" t="s">
        <v>283</v>
      </c>
      <c r="F177" s="3" t="str">
        <f>VLOOKUP(B178,Planilha1!C:E,3,0)</f>
        <v>Não</v>
      </c>
      <c r="G177" s="4">
        <f>IF(combined_output_id__3[[#This Row],[y_pred]]=combined_output_id__3[[#This Row],[Coluna1]],1,0)</f>
        <v>0</v>
      </c>
    </row>
    <row r="178" spans="1:7" x14ac:dyDescent="0.35">
      <c r="A178">
        <v>176</v>
      </c>
      <c r="B178">
        <v>133487493</v>
      </c>
      <c r="C178" s="1" t="s">
        <v>183</v>
      </c>
      <c r="D178" s="1" t="s">
        <v>8</v>
      </c>
      <c r="E178" s="2" t="s">
        <v>289</v>
      </c>
      <c r="F178" t="str">
        <f>VLOOKUP(B179,Planilha1!C:E,3,0)</f>
        <v>Não</v>
      </c>
      <c r="G178" s="11">
        <f>IF(combined_output_id__3[[#This Row],[y_pred]]=combined_output_id__3[[#This Row],[Coluna1]],1,0)</f>
        <v>1</v>
      </c>
    </row>
    <row r="179" spans="1:7" x14ac:dyDescent="0.35">
      <c r="A179">
        <v>177</v>
      </c>
      <c r="B179">
        <v>133512005</v>
      </c>
      <c r="C179" s="1" t="s">
        <v>184</v>
      </c>
      <c r="D179" s="1" t="s">
        <v>8</v>
      </c>
      <c r="E179" s="2" t="s">
        <v>277</v>
      </c>
      <c r="F179" t="str">
        <f>VLOOKUP(B180,Planilha1!C:E,3,0)</f>
        <v>Não</v>
      </c>
      <c r="G179" s="11">
        <f>IF(combined_output_id__3[[#This Row],[y_pred]]=combined_output_id__3[[#This Row],[Coluna1]],1,0)</f>
        <v>1</v>
      </c>
    </row>
    <row r="180" spans="1:7" x14ac:dyDescent="0.35">
      <c r="A180" s="3">
        <v>178</v>
      </c>
      <c r="B180" s="3">
        <v>133535887</v>
      </c>
      <c r="C180" s="4" t="s">
        <v>185</v>
      </c>
      <c r="D180" s="4" t="s">
        <v>6</v>
      </c>
      <c r="E180" s="5" t="s">
        <v>277</v>
      </c>
      <c r="F180" s="3" t="str">
        <f>VLOOKUP(B181,Planilha1!C:E,3,0)</f>
        <v>Não</v>
      </c>
      <c r="G180" s="4">
        <f>IF(combined_output_id__3[[#This Row],[y_pred]]=combined_output_id__3[[#This Row],[Coluna1]],1,0)</f>
        <v>0</v>
      </c>
    </row>
    <row r="181" spans="1:7" x14ac:dyDescent="0.35">
      <c r="A181" s="3">
        <v>179</v>
      </c>
      <c r="B181" s="3">
        <v>133519125</v>
      </c>
      <c r="C181" s="4" t="s">
        <v>186</v>
      </c>
      <c r="D181" s="4" t="s">
        <v>6</v>
      </c>
      <c r="E181" s="5" t="s">
        <v>280</v>
      </c>
      <c r="F181" s="3" t="str">
        <f>VLOOKUP(B182,Planilha1!C:E,3,0)</f>
        <v>Não</v>
      </c>
      <c r="G181" s="4">
        <f>IF(combined_output_id__3[[#This Row],[y_pred]]=combined_output_id__3[[#This Row],[Coluna1]],1,0)</f>
        <v>0</v>
      </c>
    </row>
    <row r="182" spans="1:7" x14ac:dyDescent="0.35">
      <c r="A182" s="3">
        <v>180</v>
      </c>
      <c r="B182" s="3">
        <v>133465675</v>
      </c>
      <c r="C182" s="4" t="s">
        <v>187</v>
      </c>
      <c r="D182" s="4" t="s">
        <v>8</v>
      </c>
      <c r="E182" s="5" t="s">
        <v>283</v>
      </c>
      <c r="F182" s="3" t="str">
        <f>VLOOKUP(B183,Planilha1!C:E,3,0)</f>
        <v>Blackfriday</v>
      </c>
      <c r="G182" s="4">
        <f>IF(combined_output_id__3[[#This Row],[y_pred]]=combined_output_id__3[[#This Row],[Coluna1]],1,0)</f>
        <v>0</v>
      </c>
    </row>
    <row r="183" spans="1:7" x14ac:dyDescent="0.35">
      <c r="A183" s="3">
        <v>181</v>
      </c>
      <c r="B183" s="3">
        <v>133479793</v>
      </c>
      <c r="C183" s="4" t="s">
        <v>188</v>
      </c>
      <c r="D183" s="4" t="s">
        <v>8</v>
      </c>
      <c r="E183" s="5" t="s">
        <v>278</v>
      </c>
      <c r="F183" s="3" t="str">
        <f>VLOOKUP(B184,Planilha1!C:E,3,0)</f>
        <v>Blackfriday</v>
      </c>
      <c r="G183" s="4">
        <f>IF(combined_output_id__3[[#This Row],[y_pred]]=combined_output_id__3[[#This Row],[Coluna1]],1,0)</f>
        <v>0</v>
      </c>
    </row>
    <row r="184" spans="1:7" x14ac:dyDescent="0.35">
      <c r="A184" s="3">
        <v>182</v>
      </c>
      <c r="B184" s="3">
        <v>133548015</v>
      </c>
      <c r="C184" s="4" t="s">
        <v>189</v>
      </c>
      <c r="D184" s="4" t="s">
        <v>6</v>
      </c>
      <c r="E184" s="5" t="s">
        <v>281</v>
      </c>
      <c r="F184" s="3" t="str">
        <f>VLOOKUP(B185,Planilha1!C:E,3,0)</f>
        <v>Não</v>
      </c>
      <c r="G184" s="4">
        <f>IF(combined_output_id__3[[#This Row],[y_pred]]=combined_output_id__3[[#This Row],[Coluna1]],1,0)</f>
        <v>0</v>
      </c>
    </row>
    <row r="185" spans="1:7" x14ac:dyDescent="0.35">
      <c r="A185" s="3">
        <v>183</v>
      </c>
      <c r="B185" s="3">
        <v>133465549</v>
      </c>
      <c r="C185" s="4" t="s">
        <v>190</v>
      </c>
      <c r="D185" s="4" t="s">
        <v>6</v>
      </c>
      <c r="E185" s="5" t="s">
        <v>278</v>
      </c>
      <c r="F185" s="3" t="str">
        <f>VLOOKUP(B186,Planilha1!C:E,3,0)</f>
        <v>Não</v>
      </c>
      <c r="G185" s="4">
        <f>IF(combined_output_id__3[[#This Row],[y_pred]]=combined_output_id__3[[#This Row],[Coluna1]],1,0)</f>
        <v>0</v>
      </c>
    </row>
    <row r="186" spans="1:7" x14ac:dyDescent="0.35">
      <c r="A186" s="3">
        <v>184</v>
      </c>
      <c r="B186" s="3">
        <v>133460433</v>
      </c>
      <c r="C186" s="4" t="s">
        <v>191</v>
      </c>
      <c r="D186" s="4" t="s">
        <v>6</v>
      </c>
      <c r="E186" s="5" t="s">
        <v>277</v>
      </c>
      <c r="F186" s="3" t="str">
        <f>VLOOKUP(B187,Planilha1!C:E,3,0)</f>
        <v>Não</v>
      </c>
      <c r="G186" s="4">
        <f>IF(combined_output_id__3[[#This Row],[y_pred]]=combined_output_id__3[[#This Row],[Coluna1]],1,0)</f>
        <v>0</v>
      </c>
    </row>
    <row r="187" spans="1:7" x14ac:dyDescent="0.35">
      <c r="A187">
        <v>185</v>
      </c>
      <c r="B187">
        <v>133450201</v>
      </c>
      <c r="C187" s="1" t="s">
        <v>72</v>
      </c>
      <c r="D187" s="1" t="s">
        <v>8</v>
      </c>
      <c r="E187" s="2" t="s">
        <v>286</v>
      </c>
      <c r="F187" t="str">
        <f>VLOOKUP(B188,Planilha1!C:E,3,0)</f>
        <v>Não</v>
      </c>
      <c r="G187" s="11">
        <f>IF(combined_output_id__3[[#This Row],[y_pred]]=combined_output_id__3[[#This Row],[Coluna1]],1,0)</f>
        <v>1</v>
      </c>
    </row>
    <row r="188" spans="1:7" x14ac:dyDescent="0.35">
      <c r="A188" s="3">
        <v>186</v>
      </c>
      <c r="B188" s="3">
        <v>132810645</v>
      </c>
      <c r="C188" s="4" t="s">
        <v>192</v>
      </c>
      <c r="D188" s="4" t="s">
        <v>8</v>
      </c>
      <c r="E188" s="5" t="s">
        <v>281</v>
      </c>
      <c r="F188" s="3" t="str">
        <f>VLOOKUP(B189,Planilha1!C:E,3,0)</f>
        <v>Blackfriday</v>
      </c>
      <c r="G188" s="4">
        <f>IF(combined_output_id__3[[#This Row],[y_pred]]=combined_output_id__3[[#This Row],[Coluna1]],1,0)</f>
        <v>0</v>
      </c>
    </row>
    <row r="189" spans="1:7" x14ac:dyDescent="0.35">
      <c r="A189">
        <v>187</v>
      </c>
      <c r="B189">
        <v>133457299</v>
      </c>
      <c r="C189" s="1" t="s">
        <v>165</v>
      </c>
      <c r="D189" s="1" t="s">
        <v>8</v>
      </c>
      <c r="E189" s="2" t="s">
        <v>278</v>
      </c>
      <c r="F189" t="str">
        <f>VLOOKUP(B190,Planilha1!C:E,3,0)</f>
        <v>Não</v>
      </c>
      <c r="G189" s="11">
        <f>IF(combined_output_id__3[[#This Row],[y_pred]]=combined_output_id__3[[#This Row],[Coluna1]],1,0)</f>
        <v>1</v>
      </c>
    </row>
    <row r="190" spans="1:7" x14ac:dyDescent="0.35">
      <c r="A190" s="3">
        <v>188</v>
      </c>
      <c r="B190" s="3">
        <v>132951721</v>
      </c>
      <c r="C190" s="4" t="s">
        <v>193</v>
      </c>
      <c r="D190" s="4" t="s">
        <v>6</v>
      </c>
      <c r="E190" s="5" t="s">
        <v>296</v>
      </c>
      <c r="F190" s="3" t="str">
        <f>VLOOKUP(B191,Planilha1!C:E,3,0)</f>
        <v>Não</v>
      </c>
      <c r="G190" s="4">
        <f>IF(combined_output_id__3[[#This Row],[y_pred]]=combined_output_id__3[[#This Row],[Coluna1]],1,0)</f>
        <v>0</v>
      </c>
    </row>
    <row r="191" spans="1:7" x14ac:dyDescent="0.35">
      <c r="A191">
        <v>189</v>
      </c>
      <c r="B191">
        <v>133379737</v>
      </c>
      <c r="C191" s="1" t="s">
        <v>192</v>
      </c>
      <c r="D191" s="1" t="s">
        <v>8</v>
      </c>
      <c r="E191" s="2" t="s">
        <v>277</v>
      </c>
      <c r="F191" t="str">
        <f>VLOOKUP(B192,Planilha1!C:E,3,0)</f>
        <v>Não</v>
      </c>
      <c r="G191" s="11">
        <f>IF(combined_output_id__3[[#This Row],[y_pred]]=combined_output_id__3[[#This Row],[Coluna1]],1,0)</f>
        <v>1</v>
      </c>
    </row>
    <row r="192" spans="1:7" x14ac:dyDescent="0.35">
      <c r="A192" s="3">
        <v>190</v>
      </c>
      <c r="B192" s="3">
        <v>133452059</v>
      </c>
      <c r="C192" s="4" t="s">
        <v>140</v>
      </c>
      <c r="D192" s="4" t="s">
        <v>6</v>
      </c>
      <c r="E192" s="5" t="s">
        <v>281</v>
      </c>
      <c r="F192" s="3" t="str">
        <f>VLOOKUP(B193,Planilha1!C:E,3,0)</f>
        <v>Não</v>
      </c>
      <c r="G192" s="4">
        <f>IF(combined_output_id__3[[#This Row],[y_pred]]=combined_output_id__3[[#This Row],[Coluna1]],1,0)</f>
        <v>0</v>
      </c>
    </row>
    <row r="193" spans="1:7" x14ac:dyDescent="0.35">
      <c r="A193" s="3">
        <v>191</v>
      </c>
      <c r="B193" s="3">
        <v>133204541</v>
      </c>
      <c r="C193" s="4" t="s">
        <v>194</v>
      </c>
      <c r="D193" s="4" t="s">
        <v>6</v>
      </c>
      <c r="E193" s="5" t="s">
        <v>277</v>
      </c>
      <c r="F193" s="3" t="str">
        <f>VLOOKUP(B194,Planilha1!C:E,3,0)</f>
        <v>Não</v>
      </c>
      <c r="G193" s="4">
        <f>IF(combined_output_id__3[[#This Row],[y_pred]]=combined_output_id__3[[#This Row],[Coluna1]],1,0)</f>
        <v>0</v>
      </c>
    </row>
    <row r="194" spans="1:7" x14ac:dyDescent="0.35">
      <c r="A194" s="3">
        <v>192</v>
      </c>
      <c r="B194" s="3">
        <v>133457473</v>
      </c>
      <c r="C194" s="4" t="s">
        <v>157</v>
      </c>
      <c r="D194" s="4" t="s">
        <v>8</v>
      </c>
      <c r="E194" s="5" t="s">
        <v>278</v>
      </c>
      <c r="F194" s="3" t="str">
        <f>VLOOKUP(B195,Planilha1!C:E,3,0)</f>
        <v>Blackfriday</v>
      </c>
      <c r="G194" s="4">
        <f>IF(combined_output_id__3[[#This Row],[y_pred]]=combined_output_id__3[[#This Row],[Coluna1]],1,0)</f>
        <v>0</v>
      </c>
    </row>
    <row r="195" spans="1:7" x14ac:dyDescent="0.35">
      <c r="A195">
        <v>193</v>
      </c>
      <c r="B195">
        <v>133580299</v>
      </c>
      <c r="C195" s="1" t="s">
        <v>195</v>
      </c>
      <c r="D195" s="1" t="s">
        <v>6</v>
      </c>
      <c r="E195" s="2" t="s">
        <v>279</v>
      </c>
      <c r="F195" t="str">
        <f>VLOOKUP(B196,Planilha1!C:E,3,0)</f>
        <v>Blackfriday</v>
      </c>
      <c r="G195" s="11">
        <f>IF(combined_output_id__3[[#This Row],[y_pred]]=combined_output_id__3[[#This Row],[Coluna1]],1,0)</f>
        <v>1</v>
      </c>
    </row>
    <row r="196" spans="1:7" x14ac:dyDescent="0.35">
      <c r="A196" s="3">
        <v>194</v>
      </c>
      <c r="B196" s="3">
        <v>133579993</v>
      </c>
      <c r="C196" s="4" t="s">
        <v>196</v>
      </c>
      <c r="D196" s="4" t="s">
        <v>8</v>
      </c>
      <c r="E196" s="5" t="s">
        <v>278</v>
      </c>
      <c r="F196" s="3" t="str">
        <f>VLOOKUP(B197,Planilha1!C:E,3,0)</f>
        <v>Blackfriday</v>
      </c>
      <c r="G196" s="4">
        <f>IF(combined_output_id__3[[#This Row],[y_pred]]=combined_output_id__3[[#This Row],[Coluna1]],1,0)</f>
        <v>0</v>
      </c>
    </row>
    <row r="197" spans="1:7" x14ac:dyDescent="0.35">
      <c r="A197" s="3">
        <v>195</v>
      </c>
      <c r="B197" s="3">
        <v>133608073</v>
      </c>
      <c r="C197" s="4" t="s">
        <v>197</v>
      </c>
      <c r="D197" s="4" t="s">
        <v>6</v>
      </c>
      <c r="E197" s="5" t="s">
        <v>278</v>
      </c>
      <c r="F197" s="3" t="str">
        <f>VLOOKUP(B198,Planilha1!C:E,3,0)</f>
        <v>Não</v>
      </c>
      <c r="G197" s="4">
        <f>IF(combined_output_id__3[[#This Row],[y_pred]]=combined_output_id__3[[#This Row],[Coluna1]],1,0)</f>
        <v>0</v>
      </c>
    </row>
    <row r="198" spans="1:7" x14ac:dyDescent="0.35">
      <c r="A198" s="3">
        <v>196</v>
      </c>
      <c r="B198" s="3">
        <v>133594671</v>
      </c>
      <c r="C198" s="4" t="s">
        <v>198</v>
      </c>
      <c r="D198" s="4" t="s">
        <v>8</v>
      </c>
      <c r="E198" s="5" t="s">
        <v>277</v>
      </c>
      <c r="F198" s="3" t="str">
        <f>VLOOKUP(B199,Planilha1!C:E,3,0)</f>
        <v>Blackfriday</v>
      </c>
      <c r="G198" s="4">
        <f>IF(combined_output_id__3[[#This Row],[y_pred]]=combined_output_id__3[[#This Row],[Coluna1]],1,0)</f>
        <v>0</v>
      </c>
    </row>
    <row r="199" spans="1:7" x14ac:dyDescent="0.35">
      <c r="A199">
        <v>197</v>
      </c>
      <c r="B199">
        <v>133596581</v>
      </c>
      <c r="C199" s="1" t="s">
        <v>199</v>
      </c>
      <c r="D199" s="1" t="s">
        <v>8</v>
      </c>
      <c r="E199" s="2" t="s">
        <v>277</v>
      </c>
      <c r="F199" t="str">
        <f>VLOOKUP(B200,Planilha1!C:E,3,0)</f>
        <v>Não</v>
      </c>
      <c r="G199" s="11">
        <f>IF(combined_output_id__3[[#This Row],[y_pred]]=combined_output_id__3[[#This Row],[Coluna1]],1,0)</f>
        <v>1</v>
      </c>
    </row>
    <row r="200" spans="1:7" x14ac:dyDescent="0.35">
      <c r="A200" s="3">
        <v>198</v>
      </c>
      <c r="B200" s="3">
        <v>133484883</v>
      </c>
      <c r="C200" s="4" t="s">
        <v>200</v>
      </c>
      <c r="D200" s="4" t="s">
        <v>6</v>
      </c>
      <c r="E200" s="5" t="s">
        <v>294</v>
      </c>
      <c r="F200" s="3" t="str">
        <f>VLOOKUP(B201,Planilha1!C:E,3,0)</f>
        <v>Não</v>
      </c>
      <c r="G200" s="4">
        <f>IF(combined_output_id__3[[#This Row],[y_pred]]=combined_output_id__3[[#This Row],[Coluna1]],1,0)</f>
        <v>0</v>
      </c>
    </row>
    <row r="201" spans="1:7" x14ac:dyDescent="0.35">
      <c r="A201">
        <v>199</v>
      </c>
      <c r="B201">
        <v>133576811</v>
      </c>
      <c r="C201" s="1" t="s">
        <v>201</v>
      </c>
      <c r="D201" s="1" t="s">
        <v>6</v>
      </c>
      <c r="E201" s="2" t="s">
        <v>316</v>
      </c>
      <c r="F201" t="str">
        <f>VLOOKUP(B202,Planilha1!C:E,3,0)</f>
        <v>Blackfriday</v>
      </c>
      <c r="G201" s="11">
        <f>IF(combined_output_id__3[[#This Row],[y_pred]]=combined_output_id__3[[#This Row],[Coluna1]],1,0)</f>
        <v>1</v>
      </c>
    </row>
    <row r="202" spans="1:7" x14ac:dyDescent="0.35">
      <c r="A202">
        <v>200</v>
      </c>
      <c r="B202">
        <v>133630997</v>
      </c>
      <c r="C202" s="1" t="s">
        <v>202</v>
      </c>
      <c r="D202" s="1" t="s">
        <v>8</v>
      </c>
      <c r="E202" s="2" t="s">
        <v>317</v>
      </c>
      <c r="F202" t="str">
        <f>VLOOKUP(B203,Planilha1!C:E,3,0)</f>
        <v>Não</v>
      </c>
      <c r="G202" s="11">
        <f>IF(combined_output_id__3[[#This Row],[y_pred]]=combined_output_id__3[[#This Row],[Coluna1]],1,0)</f>
        <v>1</v>
      </c>
    </row>
    <row r="203" spans="1:7" x14ac:dyDescent="0.35">
      <c r="A203" s="3">
        <v>201</v>
      </c>
      <c r="B203" s="3">
        <v>133490501</v>
      </c>
      <c r="C203" s="4" t="s">
        <v>203</v>
      </c>
      <c r="D203" s="4" t="s">
        <v>6</v>
      </c>
      <c r="E203" s="5" t="s">
        <v>283</v>
      </c>
      <c r="F203" s="3" t="str">
        <f>VLOOKUP(B204,Planilha1!C:E,3,0)</f>
        <v>Não</v>
      </c>
      <c r="G203" s="4">
        <f>IF(combined_output_id__3[[#This Row],[y_pred]]=combined_output_id__3[[#This Row],[Coluna1]],1,0)</f>
        <v>0</v>
      </c>
    </row>
    <row r="204" spans="1:7" x14ac:dyDescent="0.35">
      <c r="A204">
        <v>202</v>
      </c>
      <c r="B204">
        <v>133616283</v>
      </c>
      <c r="C204" s="1" t="s">
        <v>204</v>
      </c>
      <c r="D204" s="1" t="s">
        <v>8</v>
      </c>
      <c r="E204" s="2" t="s">
        <v>314</v>
      </c>
      <c r="F204" t="str">
        <f>VLOOKUP(B205,Planilha1!C:E,3,0)</f>
        <v>Não</v>
      </c>
      <c r="G204" s="11">
        <f>IF(combined_output_id__3[[#This Row],[y_pred]]=combined_output_id__3[[#This Row],[Coluna1]],1,0)</f>
        <v>1</v>
      </c>
    </row>
    <row r="205" spans="1:7" x14ac:dyDescent="0.35">
      <c r="A205">
        <v>203</v>
      </c>
      <c r="B205">
        <v>133570345</v>
      </c>
      <c r="C205" s="1" t="s">
        <v>205</v>
      </c>
      <c r="D205" s="1" t="s">
        <v>8</v>
      </c>
      <c r="E205" s="2" t="s">
        <v>277</v>
      </c>
      <c r="F205" t="str">
        <f>VLOOKUP(B206,Planilha1!C:E,3,0)</f>
        <v>Não</v>
      </c>
      <c r="G205" s="11">
        <f>IF(combined_output_id__3[[#This Row],[y_pred]]=combined_output_id__3[[#This Row],[Coluna1]],1,0)</f>
        <v>1</v>
      </c>
    </row>
    <row r="206" spans="1:7" x14ac:dyDescent="0.35">
      <c r="A206">
        <v>204</v>
      </c>
      <c r="B206">
        <v>133587357</v>
      </c>
      <c r="C206" s="1" t="s">
        <v>206</v>
      </c>
      <c r="D206" s="1" t="s">
        <v>8</v>
      </c>
      <c r="E206" s="2" t="s">
        <v>311</v>
      </c>
      <c r="F206" t="str">
        <f>VLOOKUP(B207,Planilha1!C:E,3,0)</f>
        <v>Não</v>
      </c>
      <c r="G206" s="11">
        <f>IF(combined_output_id__3[[#This Row],[y_pred]]=combined_output_id__3[[#This Row],[Coluna1]],1,0)</f>
        <v>1</v>
      </c>
    </row>
    <row r="207" spans="1:7" x14ac:dyDescent="0.35">
      <c r="A207">
        <v>205</v>
      </c>
      <c r="B207">
        <v>133581193</v>
      </c>
      <c r="C207" s="1" t="s">
        <v>207</v>
      </c>
      <c r="D207" s="1" t="s">
        <v>8</v>
      </c>
      <c r="E207" s="2" t="s">
        <v>281</v>
      </c>
      <c r="F207" t="str">
        <f>VLOOKUP(B208,Planilha1!C:E,3,0)</f>
        <v>Não</v>
      </c>
      <c r="G207" s="11">
        <f>IF(combined_output_id__3[[#This Row],[y_pred]]=combined_output_id__3[[#This Row],[Coluna1]],1,0)</f>
        <v>1</v>
      </c>
    </row>
    <row r="208" spans="1:7" x14ac:dyDescent="0.35">
      <c r="A208">
        <v>206</v>
      </c>
      <c r="B208">
        <v>133611967</v>
      </c>
      <c r="C208" s="1" t="s">
        <v>208</v>
      </c>
      <c r="D208" s="1" t="s">
        <v>8</v>
      </c>
      <c r="E208" s="2" t="s">
        <v>277</v>
      </c>
      <c r="F208" t="str">
        <f>VLOOKUP(B209,Planilha1!C:E,3,0)</f>
        <v>Não</v>
      </c>
      <c r="G208" s="11">
        <f>IF(combined_output_id__3[[#This Row],[y_pred]]=combined_output_id__3[[#This Row],[Coluna1]],1,0)</f>
        <v>1</v>
      </c>
    </row>
    <row r="209" spans="1:7" x14ac:dyDescent="0.35">
      <c r="A209" s="3">
        <v>207</v>
      </c>
      <c r="B209" s="3">
        <v>133583849</v>
      </c>
      <c r="C209" s="4" t="s">
        <v>209</v>
      </c>
      <c r="D209" s="4" t="s">
        <v>8</v>
      </c>
      <c r="E209" s="5" t="s">
        <v>277</v>
      </c>
      <c r="F209" s="3" t="str">
        <f>VLOOKUP(B210,Planilha1!C:E,3,0)</f>
        <v>Blackfriday</v>
      </c>
      <c r="G209" s="4">
        <f>IF(combined_output_id__3[[#This Row],[y_pred]]=combined_output_id__3[[#This Row],[Coluna1]],1,0)</f>
        <v>0</v>
      </c>
    </row>
    <row r="210" spans="1:7" x14ac:dyDescent="0.35">
      <c r="A210" s="3">
        <v>208</v>
      </c>
      <c r="B210" s="3">
        <v>133479793</v>
      </c>
      <c r="C210" s="4" t="s">
        <v>188</v>
      </c>
      <c r="D210" s="4" t="s">
        <v>8</v>
      </c>
      <c r="E210" s="5" t="s">
        <v>279</v>
      </c>
      <c r="F210" s="3" t="str">
        <f>VLOOKUP(B211,Planilha1!C:E,3,0)</f>
        <v>Blackfriday</v>
      </c>
      <c r="G210" s="4">
        <f>IF(combined_output_id__3[[#This Row],[y_pred]]=combined_output_id__3[[#This Row],[Coluna1]],1,0)</f>
        <v>0</v>
      </c>
    </row>
    <row r="211" spans="1:7" x14ac:dyDescent="0.35">
      <c r="A211" s="3">
        <v>209</v>
      </c>
      <c r="B211" s="3">
        <v>133614411</v>
      </c>
      <c r="C211" s="4" t="s">
        <v>210</v>
      </c>
      <c r="D211" s="4" t="s">
        <v>8</v>
      </c>
      <c r="E211" s="5" t="s">
        <v>309</v>
      </c>
      <c r="F211" s="3" t="str">
        <f>VLOOKUP(B212,Planilha1!C:E,3,0)</f>
        <v>Blackfriday</v>
      </c>
      <c r="G211" s="4">
        <f>IF(combined_output_id__3[[#This Row],[y_pred]]=combined_output_id__3[[#This Row],[Coluna1]],1,0)</f>
        <v>0</v>
      </c>
    </row>
    <row r="212" spans="1:7" x14ac:dyDescent="0.35">
      <c r="A212">
        <v>210</v>
      </c>
      <c r="B212">
        <v>133575781</v>
      </c>
      <c r="C212" s="1" t="s">
        <v>211</v>
      </c>
      <c r="D212" s="1" t="s">
        <v>8</v>
      </c>
      <c r="E212" s="2" t="s">
        <v>314</v>
      </c>
      <c r="F212" t="str">
        <f>VLOOKUP(B213,Planilha1!C:E,3,0)</f>
        <v>Não</v>
      </c>
      <c r="G212" s="11">
        <f>IF(combined_output_id__3[[#This Row],[y_pred]]=combined_output_id__3[[#This Row],[Coluna1]],1,0)</f>
        <v>1</v>
      </c>
    </row>
    <row r="213" spans="1:7" x14ac:dyDescent="0.35">
      <c r="A213" s="3">
        <v>211</v>
      </c>
      <c r="B213" s="3">
        <v>133630991</v>
      </c>
      <c r="C213" s="4" t="s">
        <v>212</v>
      </c>
      <c r="D213" s="4" t="s">
        <v>8</v>
      </c>
      <c r="E213" s="5" t="s">
        <v>292</v>
      </c>
      <c r="F213" s="3" t="str">
        <f>VLOOKUP(B214,Planilha1!C:E,3,0)</f>
        <v>Blackfriday</v>
      </c>
      <c r="G213" s="4">
        <f>IF(combined_output_id__3[[#This Row],[y_pred]]=combined_output_id__3[[#This Row],[Coluna1]],1,0)</f>
        <v>0</v>
      </c>
    </row>
    <row r="214" spans="1:7" x14ac:dyDescent="0.35">
      <c r="A214">
        <v>212</v>
      </c>
      <c r="B214">
        <v>133566741</v>
      </c>
      <c r="C214" s="1" t="s">
        <v>213</v>
      </c>
      <c r="D214" s="1" t="s">
        <v>6</v>
      </c>
      <c r="E214" s="2" t="s">
        <v>283</v>
      </c>
      <c r="F214" t="str">
        <f>VLOOKUP(B215,Planilha1!C:E,3,0)</f>
        <v>Blackfriday</v>
      </c>
      <c r="G214" s="11">
        <f>IF(combined_output_id__3[[#This Row],[y_pred]]=combined_output_id__3[[#This Row],[Coluna1]],1,0)</f>
        <v>1</v>
      </c>
    </row>
    <row r="215" spans="1:7" x14ac:dyDescent="0.35">
      <c r="A215">
        <v>213</v>
      </c>
      <c r="B215">
        <v>133616099</v>
      </c>
      <c r="C215" s="1" t="s">
        <v>214</v>
      </c>
      <c r="D215" s="1" t="s">
        <v>6</v>
      </c>
      <c r="E215" s="2" t="s">
        <v>277</v>
      </c>
      <c r="F215" t="str">
        <f>VLOOKUP(B216,Planilha1!C:E,3,0)</f>
        <v>Blackfriday</v>
      </c>
      <c r="G215" s="11">
        <f>IF(combined_output_id__3[[#This Row],[y_pred]]=combined_output_id__3[[#This Row],[Coluna1]],1,0)</f>
        <v>1</v>
      </c>
    </row>
    <row r="216" spans="1:7" x14ac:dyDescent="0.35">
      <c r="A216">
        <v>214</v>
      </c>
      <c r="B216">
        <v>133620453</v>
      </c>
      <c r="C216" s="1" t="s">
        <v>215</v>
      </c>
      <c r="D216" s="1" t="s">
        <v>8</v>
      </c>
      <c r="E216" s="2" t="s">
        <v>278</v>
      </c>
      <c r="F216" t="str">
        <f>VLOOKUP(B217,Planilha1!C:E,3,0)</f>
        <v>Não</v>
      </c>
      <c r="G216" s="11">
        <f>IF(combined_output_id__3[[#This Row],[y_pred]]=combined_output_id__3[[#This Row],[Coluna1]],1,0)</f>
        <v>1</v>
      </c>
    </row>
    <row r="217" spans="1:7" x14ac:dyDescent="0.35">
      <c r="A217">
        <v>215</v>
      </c>
      <c r="B217">
        <v>133633213</v>
      </c>
      <c r="C217" s="1" t="s">
        <v>216</v>
      </c>
      <c r="D217" s="1" t="s">
        <v>6</v>
      </c>
      <c r="E217" s="2" t="s">
        <v>278</v>
      </c>
      <c r="F217" t="str">
        <f>VLOOKUP(B218,Planilha1!C:E,3,0)</f>
        <v>Blackfriday</v>
      </c>
      <c r="G217" s="11">
        <f>IF(combined_output_id__3[[#This Row],[y_pred]]=combined_output_id__3[[#This Row],[Coluna1]],1,0)</f>
        <v>1</v>
      </c>
    </row>
    <row r="218" spans="1:7" x14ac:dyDescent="0.35">
      <c r="A218">
        <v>216</v>
      </c>
      <c r="B218">
        <v>133633629</v>
      </c>
      <c r="C218" s="1" t="s">
        <v>217</v>
      </c>
      <c r="D218" s="1" t="s">
        <v>6</v>
      </c>
      <c r="E218" s="2" t="s">
        <v>318</v>
      </c>
      <c r="F218" t="str">
        <f>VLOOKUP(B219,Planilha1!C:E,3,0)</f>
        <v>Blackfriday</v>
      </c>
      <c r="G218" s="11">
        <f>IF(combined_output_id__3[[#This Row],[y_pred]]=combined_output_id__3[[#This Row],[Coluna1]],1,0)</f>
        <v>1</v>
      </c>
    </row>
    <row r="219" spans="1:7" x14ac:dyDescent="0.35">
      <c r="A219" s="3">
        <v>217</v>
      </c>
      <c r="B219" s="3">
        <v>133611017</v>
      </c>
      <c r="C219" s="4" t="s">
        <v>218</v>
      </c>
      <c r="D219" s="4" t="s">
        <v>6</v>
      </c>
      <c r="E219" s="5" t="s">
        <v>283</v>
      </c>
      <c r="F219" s="3" t="str">
        <f>VLOOKUP(B220,Planilha1!C:E,3,0)</f>
        <v>Não</v>
      </c>
      <c r="G219" s="4">
        <f>IF(combined_output_id__3[[#This Row],[y_pred]]=combined_output_id__3[[#This Row],[Coluna1]],1,0)</f>
        <v>0</v>
      </c>
    </row>
    <row r="220" spans="1:7" x14ac:dyDescent="0.35">
      <c r="A220">
        <v>218</v>
      </c>
      <c r="B220">
        <v>133583617</v>
      </c>
      <c r="C220" s="1" t="s">
        <v>219</v>
      </c>
      <c r="D220" s="1" t="s">
        <v>8</v>
      </c>
      <c r="E220" s="2" t="s">
        <v>283</v>
      </c>
      <c r="F220" t="str">
        <f>VLOOKUP(B221,Planilha1!C:E,3,0)</f>
        <v>Não</v>
      </c>
      <c r="G220" s="11">
        <f>IF(combined_output_id__3[[#This Row],[y_pred]]=combined_output_id__3[[#This Row],[Coluna1]],1,0)</f>
        <v>1</v>
      </c>
    </row>
    <row r="221" spans="1:7" x14ac:dyDescent="0.35">
      <c r="A221">
        <v>219</v>
      </c>
      <c r="B221">
        <v>133605493</v>
      </c>
      <c r="C221" s="1" t="s">
        <v>220</v>
      </c>
      <c r="D221" s="1" t="s">
        <v>6</v>
      </c>
      <c r="E221" s="2" t="s">
        <v>308</v>
      </c>
      <c r="F221" t="str">
        <f>VLOOKUP(B222,Planilha1!C:E,3,0)</f>
        <v>Blackfriday</v>
      </c>
      <c r="G221" s="11">
        <f>IF(combined_output_id__3[[#This Row],[y_pred]]=combined_output_id__3[[#This Row],[Coluna1]],1,0)</f>
        <v>1</v>
      </c>
    </row>
    <row r="222" spans="1:7" x14ac:dyDescent="0.35">
      <c r="A222" s="3">
        <v>220</v>
      </c>
      <c r="B222" s="3">
        <v>133596647</v>
      </c>
      <c r="C222" s="4" t="s">
        <v>221</v>
      </c>
      <c r="D222" s="4" t="s">
        <v>8</v>
      </c>
      <c r="E222" s="5" t="s">
        <v>300</v>
      </c>
      <c r="F222" s="3" t="str">
        <f>VLOOKUP(B223,Planilha1!C:E,3,0)</f>
        <v>Blackfriday</v>
      </c>
      <c r="G222" s="4">
        <f>IF(combined_output_id__3[[#This Row],[y_pred]]=combined_output_id__3[[#This Row],[Coluna1]],1,0)</f>
        <v>0</v>
      </c>
    </row>
    <row r="223" spans="1:7" x14ac:dyDescent="0.35">
      <c r="A223" s="3">
        <v>221</v>
      </c>
      <c r="B223" s="3">
        <v>133573581</v>
      </c>
      <c r="C223" s="4" t="s">
        <v>222</v>
      </c>
      <c r="D223" s="4" t="s">
        <v>8</v>
      </c>
      <c r="E223" s="5" t="s">
        <v>287</v>
      </c>
      <c r="F223" s="3" t="str">
        <f>VLOOKUP(B224,Planilha1!C:E,3,0)</f>
        <v>Blackfriday</v>
      </c>
      <c r="G223" s="4">
        <f>IF(combined_output_id__3[[#This Row],[y_pred]]=combined_output_id__3[[#This Row],[Coluna1]],1,0)</f>
        <v>0</v>
      </c>
    </row>
    <row r="224" spans="1:7" x14ac:dyDescent="0.35">
      <c r="A224">
        <v>222</v>
      </c>
      <c r="B224">
        <v>133605115</v>
      </c>
      <c r="C224" s="1" t="s">
        <v>223</v>
      </c>
      <c r="D224" s="1" t="s">
        <v>6</v>
      </c>
      <c r="E224" s="2" t="s">
        <v>280</v>
      </c>
      <c r="F224" t="str">
        <f>VLOOKUP(B225,Planilha1!C:E,3,0)</f>
        <v>Blackfriday</v>
      </c>
      <c r="G224" s="11">
        <f>IF(combined_output_id__3[[#This Row],[y_pred]]=combined_output_id__3[[#This Row],[Coluna1]],1,0)</f>
        <v>1</v>
      </c>
    </row>
    <row r="225" spans="1:7" x14ac:dyDescent="0.35">
      <c r="A225" s="3">
        <v>223</v>
      </c>
      <c r="B225" s="3">
        <v>133617729</v>
      </c>
      <c r="C225" s="4" t="s">
        <v>224</v>
      </c>
      <c r="D225" s="4" t="s">
        <v>8</v>
      </c>
      <c r="E225" s="5" t="s">
        <v>314</v>
      </c>
      <c r="F225" s="3" t="str">
        <f>VLOOKUP(B226,Planilha1!C:E,3,0)</f>
        <v>Blackfriday</v>
      </c>
      <c r="G225" s="4">
        <f>IF(combined_output_id__3[[#This Row],[y_pred]]=combined_output_id__3[[#This Row],[Coluna1]],1,0)</f>
        <v>0</v>
      </c>
    </row>
    <row r="226" spans="1:7" x14ac:dyDescent="0.35">
      <c r="A226" s="3">
        <v>224</v>
      </c>
      <c r="B226" s="3">
        <v>133618699</v>
      </c>
      <c r="C226" s="4" t="s">
        <v>225</v>
      </c>
      <c r="D226" s="4" t="s">
        <v>6</v>
      </c>
      <c r="E226" s="5" t="s">
        <v>304</v>
      </c>
      <c r="F226" s="3" t="str">
        <f>VLOOKUP(B227,Planilha1!C:E,3,0)</f>
        <v>Não</v>
      </c>
      <c r="G226" s="4">
        <f>IF(combined_output_id__3[[#This Row],[y_pred]]=combined_output_id__3[[#This Row],[Coluna1]],1,0)</f>
        <v>0</v>
      </c>
    </row>
    <row r="227" spans="1:7" x14ac:dyDescent="0.35">
      <c r="A227">
        <v>225</v>
      </c>
      <c r="B227">
        <v>133577871</v>
      </c>
      <c r="C227" s="1" t="s">
        <v>226</v>
      </c>
      <c r="D227" s="1" t="s">
        <v>8</v>
      </c>
      <c r="E227" s="2" t="s">
        <v>319</v>
      </c>
      <c r="F227" t="str">
        <f>VLOOKUP(B228,Planilha1!C:E,3,0)</f>
        <v>Não</v>
      </c>
      <c r="G227" s="11">
        <f>IF(combined_output_id__3[[#This Row],[y_pred]]=combined_output_id__3[[#This Row],[Coluna1]],1,0)</f>
        <v>1</v>
      </c>
    </row>
    <row r="228" spans="1:7" x14ac:dyDescent="0.35">
      <c r="A228">
        <v>226</v>
      </c>
      <c r="B228">
        <v>133462817</v>
      </c>
      <c r="C228" s="1" t="s">
        <v>129</v>
      </c>
      <c r="D228" s="1" t="s">
        <v>8</v>
      </c>
      <c r="E228" s="2" t="s">
        <v>278</v>
      </c>
      <c r="F228" t="str">
        <f>VLOOKUP(B229,Planilha1!C:E,3,0)</f>
        <v>Não</v>
      </c>
      <c r="G228" s="11">
        <f>IF(combined_output_id__3[[#This Row],[y_pred]]=combined_output_id__3[[#This Row],[Coluna1]],1,0)</f>
        <v>1</v>
      </c>
    </row>
    <row r="229" spans="1:7" x14ac:dyDescent="0.35">
      <c r="A229" s="3">
        <v>227</v>
      </c>
      <c r="B229" s="3">
        <v>133576187</v>
      </c>
      <c r="C229" s="4" t="s">
        <v>227</v>
      </c>
      <c r="D229" s="4" t="s">
        <v>8</v>
      </c>
      <c r="E229" s="5" t="s">
        <v>279</v>
      </c>
      <c r="F229" s="3" t="str">
        <f>VLOOKUP(B230,Planilha1!C:E,3,0)</f>
        <v>Blackfriday</v>
      </c>
      <c r="G229" s="4">
        <f>IF(combined_output_id__3[[#This Row],[y_pred]]=combined_output_id__3[[#This Row],[Coluna1]],1,0)</f>
        <v>0</v>
      </c>
    </row>
    <row r="230" spans="1:7" x14ac:dyDescent="0.35">
      <c r="A230">
        <v>228</v>
      </c>
      <c r="B230">
        <v>133572439</v>
      </c>
      <c r="C230" s="1" t="s">
        <v>228</v>
      </c>
      <c r="D230" s="1" t="s">
        <v>6</v>
      </c>
      <c r="E230" s="2" t="s">
        <v>277</v>
      </c>
      <c r="F230" t="str">
        <f>VLOOKUP(B231,Planilha1!C:E,3,0)</f>
        <v>Blackfriday</v>
      </c>
      <c r="G230" s="11">
        <f>IF(combined_output_id__3[[#This Row],[y_pred]]=combined_output_id__3[[#This Row],[Coluna1]],1,0)</f>
        <v>1</v>
      </c>
    </row>
    <row r="231" spans="1:7" x14ac:dyDescent="0.35">
      <c r="A231">
        <v>229</v>
      </c>
      <c r="B231">
        <v>133610905</v>
      </c>
      <c r="C231" s="1" t="s">
        <v>229</v>
      </c>
      <c r="D231" s="1" t="s">
        <v>6</v>
      </c>
      <c r="E231" s="2" t="s">
        <v>298</v>
      </c>
      <c r="F231" t="str">
        <f>VLOOKUP(B232,Planilha1!C:E,3,0)</f>
        <v>Blackfriday</v>
      </c>
      <c r="G231" s="11">
        <f>IF(combined_output_id__3[[#This Row],[y_pred]]=combined_output_id__3[[#This Row],[Coluna1]],1,0)</f>
        <v>1</v>
      </c>
    </row>
    <row r="232" spans="1:7" x14ac:dyDescent="0.35">
      <c r="A232">
        <v>230</v>
      </c>
      <c r="B232">
        <v>133597459</v>
      </c>
      <c r="C232" s="1" t="s">
        <v>230</v>
      </c>
      <c r="D232" s="1" t="s">
        <v>6</v>
      </c>
      <c r="E232" s="2" t="s">
        <v>277</v>
      </c>
      <c r="F232" t="str">
        <f>VLOOKUP(B233,Planilha1!C:E,3,0)</f>
        <v>Blackfriday</v>
      </c>
      <c r="G232" s="11">
        <f>IF(combined_output_id__3[[#This Row],[y_pred]]=combined_output_id__3[[#This Row],[Coluna1]],1,0)</f>
        <v>1</v>
      </c>
    </row>
    <row r="233" spans="1:7" x14ac:dyDescent="0.35">
      <c r="A233">
        <v>231</v>
      </c>
      <c r="B233">
        <v>133596245</v>
      </c>
      <c r="C233" s="1" t="s">
        <v>231</v>
      </c>
      <c r="D233" s="1" t="s">
        <v>6</v>
      </c>
      <c r="E233" s="2" t="s">
        <v>277</v>
      </c>
      <c r="F233" t="str">
        <f>VLOOKUP(B234,Planilha1!C:E,3,0)</f>
        <v>Blackfriday</v>
      </c>
      <c r="G233" s="11">
        <f>IF(combined_output_id__3[[#This Row],[y_pred]]=combined_output_id__3[[#This Row],[Coluna1]],1,0)</f>
        <v>1</v>
      </c>
    </row>
    <row r="234" spans="1:7" x14ac:dyDescent="0.35">
      <c r="A234" s="3">
        <v>232</v>
      </c>
      <c r="B234" s="3">
        <v>133569817</v>
      </c>
      <c r="C234" s="4" t="s">
        <v>232</v>
      </c>
      <c r="D234" s="4" t="s">
        <v>6</v>
      </c>
      <c r="E234" s="5" t="s">
        <v>277</v>
      </c>
      <c r="F234" s="3" t="str">
        <f>VLOOKUP(B235,Planilha1!C:E,3,0)</f>
        <v>Não</v>
      </c>
      <c r="G234" s="4">
        <f>IF(combined_output_id__3[[#This Row],[y_pred]]=combined_output_id__3[[#This Row],[Coluna1]],1,0)</f>
        <v>0</v>
      </c>
    </row>
    <row r="235" spans="1:7" x14ac:dyDescent="0.35">
      <c r="A235">
        <v>233</v>
      </c>
      <c r="B235">
        <v>133592227</v>
      </c>
      <c r="C235" s="1" t="s">
        <v>233</v>
      </c>
      <c r="D235" s="1" t="s">
        <v>6</v>
      </c>
      <c r="E235" s="2" t="s">
        <v>282</v>
      </c>
      <c r="F235" t="str">
        <f>VLOOKUP(B236,Planilha1!C:E,3,0)</f>
        <v>Blackfriday</v>
      </c>
      <c r="G235" s="11">
        <f>IF(combined_output_id__3[[#This Row],[y_pred]]=combined_output_id__3[[#This Row],[Coluna1]],1,0)</f>
        <v>1</v>
      </c>
    </row>
    <row r="236" spans="1:7" x14ac:dyDescent="0.35">
      <c r="A236">
        <v>234</v>
      </c>
      <c r="B236">
        <v>133565687</v>
      </c>
      <c r="C236" s="1" t="s">
        <v>234</v>
      </c>
      <c r="D236" s="1" t="s">
        <v>6</v>
      </c>
      <c r="E236" s="2" t="s">
        <v>278</v>
      </c>
      <c r="F236" t="str">
        <f>VLOOKUP(B237,Planilha1!C:E,3,0)</f>
        <v>Blackfriday</v>
      </c>
      <c r="G236" s="11">
        <f>IF(combined_output_id__3[[#This Row],[y_pred]]=combined_output_id__3[[#This Row],[Coluna1]],1,0)</f>
        <v>1</v>
      </c>
    </row>
    <row r="237" spans="1:7" x14ac:dyDescent="0.35">
      <c r="A237" s="3">
        <v>235</v>
      </c>
      <c r="B237" s="3">
        <v>133585925</v>
      </c>
      <c r="C237" s="4" t="s">
        <v>235</v>
      </c>
      <c r="D237" s="4" t="s">
        <v>6</v>
      </c>
      <c r="E237" s="5" t="s">
        <v>312</v>
      </c>
      <c r="F237" s="3" t="str">
        <f>VLOOKUP(B238,Planilha1!C:E,3,0)</f>
        <v>Não</v>
      </c>
      <c r="G237" s="4">
        <f>IF(combined_output_id__3[[#This Row],[y_pred]]=combined_output_id__3[[#This Row],[Coluna1]],1,0)</f>
        <v>0</v>
      </c>
    </row>
    <row r="238" spans="1:7" x14ac:dyDescent="0.35">
      <c r="A238">
        <v>236</v>
      </c>
      <c r="B238">
        <v>133596355</v>
      </c>
      <c r="C238" s="1" t="s">
        <v>236</v>
      </c>
      <c r="D238" s="1" t="s">
        <v>6</v>
      </c>
      <c r="E238" s="2" t="s">
        <v>277</v>
      </c>
      <c r="F238" t="str">
        <f>VLOOKUP(B239,Planilha1!C:E,3,0)</f>
        <v>Blackfriday</v>
      </c>
      <c r="G238" s="11">
        <f>IF(combined_output_id__3[[#This Row],[y_pred]]=combined_output_id__3[[#This Row],[Coluna1]],1,0)</f>
        <v>1</v>
      </c>
    </row>
    <row r="239" spans="1:7" x14ac:dyDescent="0.35">
      <c r="A239" s="3">
        <v>237</v>
      </c>
      <c r="B239" s="3">
        <v>133629463</v>
      </c>
      <c r="C239" s="4" t="s">
        <v>237</v>
      </c>
      <c r="D239" s="4" t="s">
        <v>6</v>
      </c>
      <c r="E239" s="5" t="s">
        <v>277</v>
      </c>
      <c r="F239" s="3" t="str">
        <f>VLOOKUP(B240,Planilha1!C:E,3,0)</f>
        <v>Não</v>
      </c>
      <c r="G239" s="4">
        <f>IF(combined_output_id__3[[#This Row],[y_pred]]=combined_output_id__3[[#This Row],[Coluna1]],1,0)</f>
        <v>0</v>
      </c>
    </row>
    <row r="240" spans="1:7" x14ac:dyDescent="0.35">
      <c r="A240" s="3">
        <v>238</v>
      </c>
      <c r="B240" s="3">
        <v>133627805</v>
      </c>
      <c r="C240" s="4" t="s">
        <v>238</v>
      </c>
      <c r="D240" s="4" t="s">
        <v>6</v>
      </c>
      <c r="E240" s="5" t="s">
        <v>293</v>
      </c>
      <c r="F240" s="3" t="str">
        <f>VLOOKUP(B241,Planilha1!C:E,3,0)</f>
        <v>Não</v>
      </c>
      <c r="G240" s="4">
        <f>IF(combined_output_id__3[[#This Row],[y_pred]]=combined_output_id__3[[#This Row],[Coluna1]],1,0)</f>
        <v>0</v>
      </c>
    </row>
    <row r="241" spans="1:7" x14ac:dyDescent="0.35">
      <c r="A241">
        <v>239</v>
      </c>
      <c r="B241">
        <v>133568909</v>
      </c>
      <c r="C241" s="1" t="s">
        <v>239</v>
      </c>
      <c r="D241" s="1" t="s">
        <v>8</v>
      </c>
      <c r="E241" s="2" t="s">
        <v>303</v>
      </c>
      <c r="F241" t="str">
        <f>VLOOKUP(B242,Planilha1!C:E,3,0)</f>
        <v>Não</v>
      </c>
      <c r="G241" s="11">
        <f>IF(combined_output_id__3[[#This Row],[y_pred]]=combined_output_id__3[[#This Row],[Coluna1]],1,0)</f>
        <v>1</v>
      </c>
    </row>
    <row r="242" spans="1:7" x14ac:dyDescent="0.35">
      <c r="A242">
        <v>240</v>
      </c>
      <c r="B242">
        <v>133631737</v>
      </c>
      <c r="C242" s="1" t="s">
        <v>240</v>
      </c>
      <c r="D242" s="1" t="s">
        <v>8</v>
      </c>
      <c r="E242" s="2" t="s">
        <v>277</v>
      </c>
      <c r="F242" t="str">
        <f>VLOOKUP(B243,Planilha1!C:E,3,0)</f>
        <v>Não</v>
      </c>
      <c r="G242" s="11">
        <f>IF(combined_output_id__3[[#This Row],[y_pred]]=combined_output_id__3[[#This Row],[Coluna1]],1,0)</f>
        <v>1</v>
      </c>
    </row>
    <row r="243" spans="1:7" x14ac:dyDescent="0.35">
      <c r="A243">
        <v>241</v>
      </c>
      <c r="B243">
        <v>133631091</v>
      </c>
      <c r="C243" s="1" t="s">
        <v>241</v>
      </c>
      <c r="D243" s="1" t="s">
        <v>8</v>
      </c>
      <c r="E243" s="2" t="s">
        <v>278</v>
      </c>
      <c r="F243" t="str">
        <f>VLOOKUP(B244,Planilha1!C:E,3,0)</f>
        <v>Não</v>
      </c>
      <c r="G243" s="11">
        <f>IF(combined_output_id__3[[#This Row],[y_pred]]=combined_output_id__3[[#This Row],[Coluna1]],1,0)</f>
        <v>1</v>
      </c>
    </row>
    <row r="244" spans="1:7" x14ac:dyDescent="0.35">
      <c r="A244">
        <v>242</v>
      </c>
      <c r="B244">
        <v>133450597</v>
      </c>
      <c r="C244" s="1" t="s">
        <v>70</v>
      </c>
      <c r="D244" s="1" t="s">
        <v>8</v>
      </c>
      <c r="E244" s="2" t="s">
        <v>297</v>
      </c>
      <c r="F244" t="str">
        <f>VLOOKUP(B245,Planilha1!C:E,3,0)</f>
        <v>Não</v>
      </c>
      <c r="G244" s="11">
        <f>IF(combined_output_id__3[[#This Row],[y_pred]]=combined_output_id__3[[#This Row],[Coluna1]],1,0)</f>
        <v>1</v>
      </c>
    </row>
    <row r="245" spans="1:7" x14ac:dyDescent="0.35">
      <c r="A245" s="3">
        <v>243</v>
      </c>
      <c r="B245" s="3">
        <v>133489643</v>
      </c>
      <c r="C245" s="4" t="s">
        <v>74</v>
      </c>
      <c r="D245" s="4" t="s">
        <v>8</v>
      </c>
      <c r="E245" s="5" t="s">
        <v>300</v>
      </c>
      <c r="F245" s="3" t="str">
        <f>VLOOKUP(B246,Planilha1!C:E,3,0)</f>
        <v>Blackfriday</v>
      </c>
      <c r="G245" s="4">
        <f>IF(combined_output_id__3[[#This Row],[y_pred]]=combined_output_id__3[[#This Row],[Coluna1]],1,0)</f>
        <v>0</v>
      </c>
    </row>
    <row r="246" spans="1:7" x14ac:dyDescent="0.35">
      <c r="A246">
        <v>244</v>
      </c>
      <c r="B246">
        <v>133606943</v>
      </c>
      <c r="C246" s="1" t="s">
        <v>242</v>
      </c>
      <c r="D246" s="1" t="s">
        <v>6</v>
      </c>
      <c r="E246" s="2" t="s">
        <v>277</v>
      </c>
      <c r="F246" t="str">
        <f>VLOOKUP(B247,Planilha1!C:E,3,0)</f>
        <v>Blackfriday</v>
      </c>
      <c r="G246" s="11">
        <f>IF(combined_output_id__3[[#This Row],[y_pred]]=combined_output_id__3[[#This Row],[Coluna1]],1,0)</f>
        <v>1</v>
      </c>
    </row>
    <row r="247" spans="1:7" x14ac:dyDescent="0.35">
      <c r="A247">
        <v>245</v>
      </c>
      <c r="B247">
        <v>133583819</v>
      </c>
      <c r="C247" s="1" t="s">
        <v>243</v>
      </c>
      <c r="D247" s="1" t="s">
        <v>6</v>
      </c>
      <c r="E247" s="2" t="s">
        <v>277</v>
      </c>
      <c r="F247" t="str">
        <f>VLOOKUP(B248,Planilha1!C:E,3,0)</f>
        <v>Blackfriday</v>
      </c>
      <c r="G247" s="11">
        <f>IF(combined_output_id__3[[#This Row],[y_pred]]=combined_output_id__3[[#This Row],[Coluna1]],1,0)</f>
        <v>1</v>
      </c>
    </row>
    <row r="248" spans="1:7" x14ac:dyDescent="0.35">
      <c r="A248" s="3">
        <v>246</v>
      </c>
      <c r="B248" s="3">
        <v>133610043</v>
      </c>
      <c r="C248" s="4" t="s">
        <v>244</v>
      </c>
      <c r="D248" s="4" t="s">
        <v>6</v>
      </c>
      <c r="E248" s="5" t="s">
        <v>277</v>
      </c>
      <c r="F248" s="3" t="str">
        <f>VLOOKUP(B249,Planilha1!C:E,3,0)</f>
        <v>Não</v>
      </c>
      <c r="G248" s="4">
        <f>IF(combined_output_id__3[[#This Row],[y_pred]]=combined_output_id__3[[#This Row],[Coluna1]],1,0)</f>
        <v>0</v>
      </c>
    </row>
    <row r="249" spans="1:7" x14ac:dyDescent="0.35">
      <c r="A249" s="3">
        <v>247</v>
      </c>
      <c r="B249" s="3">
        <v>133587703</v>
      </c>
      <c r="C249" s="4" t="s">
        <v>245</v>
      </c>
      <c r="D249" s="4" t="s">
        <v>8</v>
      </c>
      <c r="E249" s="5" t="s">
        <v>294</v>
      </c>
      <c r="F249" s="3" t="str">
        <f>VLOOKUP(B250,Planilha1!C:E,3,0)</f>
        <v>Blackfriday</v>
      </c>
      <c r="G249" s="4">
        <f>IF(combined_output_id__3[[#This Row],[y_pred]]=combined_output_id__3[[#This Row],[Coluna1]],1,0)</f>
        <v>0</v>
      </c>
    </row>
    <row r="250" spans="1:7" x14ac:dyDescent="0.35">
      <c r="A250">
        <v>248</v>
      </c>
      <c r="B250">
        <v>133610729</v>
      </c>
      <c r="C250" s="1" t="s">
        <v>246</v>
      </c>
      <c r="D250" s="1" t="s">
        <v>6</v>
      </c>
      <c r="E250" s="2" t="s">
        <v>318</v>
      </c>
      <c r="F250" t="str">
        <f>VLOOKUP(B251,Planilha1!C:E,3,0)</f>
        <v>Blackfriday</v>
      </c>
      <c r="G250" s="11">
        <f>IF(combined_output_id__3[[#This Row],[y_pred]]=combined_output_id__3[[#This Row],[Coluna1]],1,0)</f>
        <v>1</v>
      </c>
    </row>
    <row r="251" spans="1:7" x14ac:dyDescent="0.35">
      <c r="A251">
        <v>249</v>
      </c>
      <c r="B251">
        <v>133589299</v>
      </c>
      <c r="C251" s="1" t="s">
        <v>247</v>
      </c>
      <c r="D251" s="1" t="s">
        <v>6</v>
      </c>
      <c r="E251" s="2" t="s">
        <v>277</v>
      </c>
      <c r="F251" t="str">
        <f>VLOOKUP(B252,Planilha1!C:E,3,0)</f>
        <v>Blackfriday</v>
      </c>
      <c r="G251" s="11">
        <f>IF(combined_output_id__3[[#This Row],[y_pred]]=combined_output_id__3[[#This Row],[Coluna1]],1,0)</f>
        <v>1</v>
      </c>
    </row>
    <row r="252" spans="1:7" x14ac:dyDescent="0.35">
      <c r="A252" s="3">
        <v>250</v>
      </c>
      <c r="B252" s="3">
        <v>133592767</v>
      </c>
      <c r="C252" s="4" t="s">
        <v>248</v>
      </c>
      <c r="D252" s="4" t="s">
        <v>6</v>
      </c>
      <c r="E252" s="5" t="s">
        <v>320</v>
      </c>
      <c r="F252" s="3" t="str">
        <f>VLOOKUP(B253,Planilha1!C:E,3,0)</f>
        <v>Não</v>
      </c>
      <c r="G252" s="4">
        <f>IF(combined_output_id__3[[#This Row],[y_pred]]=combined_output_id__3[[#This Row],[Coluna1]],1,0)</f>
        <v>0</v>
      </c>
    </row>
    <row r="253" spans="1:7" x14ac:dyDescent="0.35">
      <c r="A253" s="3">
        <v>251</v>
      </c>
      <c r="B253" s="3">
        <v>133604439</v>
      </c>
      <c r="C253" s="4" t="s">
        <v>249</v>
      </c>
      <c r="D253" s="4" t="s">
        <v>6</v>
      </c>
      <c r="E253" s="5" t="s">
        <v>304</v>
      </c>
      <c r="F253" s="3" t="str">
        <f>VLOOKUP(B254,Planilha1!C:E,3,0)</f>
        <v>Não</v>
      </c>
      <c r="G253" s="4">
        <f>IF(combined_output_id__3[[#This Row],[y_pred]]=combined_output_id__3[[#This Row],[Coluna1]],1,0)</f>
        <v>0</v>
      </c>
    </row>
    <row r="254" spans="1:7" x14ac:dyDescent="0.35">
      <c r="A254" s="3">
        <v>252</v>
      </c>
      <c r="B254" s="3">
        <v>133600431</v>
      </c>
      <c r="C254" s="4" t="s">
        <v>250</v>
      </c>
      <c r="D254" s="4" t="s">
        <v>8</v>
      </c>
      <c r="E254" s="5" t="s">
        <v>277</v>
      </c>
      <c r="F254" s="3" t="str">
        <f>VLOOKUP(B255,Planilha1!C:E,3,0)</f>
        <v>Blackfriday</v>
      </c>
      <c r="G254" s="4">
        <f>IF(combined_output_id__3[[#This Row],[y_pred]]=combined_output_id__3[[#This Row],[Coluna1]],1,0)</f>
        <v>0</v>
      </c>
    </row>
    <row r="255" spans="1:7" x14ac:dyDescent="0.35">
      <c r="A255" s="3">
        <v>253</v>
      </c>
      <c r="B255" s="3">
        <v>133628691</v>
      </c>
      <c r="C255" s="4" t="s">
        <v>251</v>
      </c>
      <c r="D255" s="4" t="s">
        <v>6</v>
      </c>
      <c r="E255" s="5" t="s">
        <v>277</v>
      </c>
      <c r="F255" s="3" t="str">
        <f>VLOOKUP(B256,Planilha1!C:E,3,0)</f>
        <v>Não</v>
      </c>
      <c r="G255" s="4">
        <f>IF(combined_output_id__3[[#This Row],[y_pred]]=combined_output_id__3[[#This Row],[Coluna1]],1,0)</f>
        <v>0</v>
      </c>
    </row>
    <row r="256" spans="1:7" x14ac:dyDescent="0.35">
      <c r="A256">
        <v>254</v>
      </c>
      <c r="B256">
        <v>133587001</v>
      </c>
      <c r="C256" s="1" t="s">
        <v>252</v>
      </c>
      <c r="D256" s="1" t="s">
        <v>6</v>
      </c>
      <c r="E256" s="2" t="s">
        <v>317</v>
      </c>
      <c r="F256" t="str">
        <f>VLOOKUP(B257,Planilha1!C:E,3,0)</f>
        <v>Blackfriday</v>
      </c>
      <c r="G256" s="11">
        <f>IF(combined_output_id__3[[#This Row],[y_pred]]=combined_output_id__3[[#This Row],[Coluna1]],1,0)</f>
        <v>1</v>
      </c>
    </row>
    <row r="257" spans="1:7" x14ac:dyDescent="0.35">
      <c r="A257">
        <v>255</v>
      </c>
      <c r="B257">
        <v>133565299</v>
      </c>
      <c r="C257" s="1" t="s">
        <v>253</v>
      </c>
      <c r="D257" s="1" t="s">
        <v>8</v>
      </c>
      <c r="E257" s="2" t="s">
        <v>277</v>
      </c>
      <c r="F257" t="str">
        <f>VLOOKUP(B258,Planilha1!C:E,3,0)</f>
        <v>Não</v>
      </c>
      <c r="G257" s="11">
        <f>IF(combined_output_id__3[[#This Row],[y_pred]]=combined_output_id__3[[#This Row],[Coluna1]],1,0)</f>
        <v>1</v>
      </c>
    </row>
    <row r="258" spans="1:7" x14ac:dyDescent="0.35">
      <c r="A258">
        <v>256</v>
      </c>
      <c r="B258">
        <v>133503661</v>
      </c>
      <c r="C258" s="1" t="s">
        <v>118</v>
      </c>
      <c r="D258" s="1" t="s">
        <v>6</v>
      </c>
      <c r="E258" s="2" t="s">
        <v>294</v>
      </c>
      <c r="F258" t="str">
        <f>VLOOKUP(B259,Planilha1!C:E,3,0)</f>
        <v>Blackfriday</v>
      </c>
      <c r="G258" s="11">
        <f>IF(combined_output_id__3[[#This Row],[y_pred]]=combined_output_id__3[[#This Row],[Coluna1]],1,0)</f>
        <v>1</v>
      </c>
    </row>
    <row r="259" spans="1:7" x14ac:dyDescent="0.35">
      <c r="A259">
        <v>257</v>
      </c>
      <c r="B259">
        <v>133584779</v>
      </c>
      <c r="C259" s="1" t="s">
        <v>254</v>
      </c>
      <c r="D259" s="1" t="s">
        <v>6</v>
      </c>
      <c r="E259" s="2" t="s">
        <v>307</v>
      </c>
      <c r="F259" t="str">
        <f>VLOOKUP(B260,Planilha1!C:E,3,0)</f>
        <v>Blackfriday</v>
      </c>
      <c r="G259" s="11">
        <f>IF(combined_output_id__3[[#This Row],[y_pred]]=combined_output_id__3[[#This Row],[Coluna1]],1,0)</f>
        <v>1</v>
      </c>
    </row>
    <row r="260" spans="1:7" x14ac:dyDescent="0.35">
      <c r="A260" s="3">
        <v>258</v>
      </c>
      <c r="B260" s="3">
        <v>133600747</v>
      </c>
      <c r="C260" s="4" t="s">
        <v>255</v>
      </c>
      <c r="D260" s="4" t="s">
        <v>8</v>
      </c>
      <c r="E260" s="5" t="s">
        <v>278</v>
      </c>
      <c r="F260" s="3" t="str">
        <f>VLOOKUP(B261,Planilha1!C:E,3,0)</f>
        <v>Blackfriday</v>
      </c>
      <c r="G260" s="4">
        <f>IF(combined_output_id__3[[#This Row],[y_pred]]=combined_output_id__3[[#This Row],[Coluna1]],1,0)</f>
        <v>0</v>
      </c>
    </row>
    <row r="261" spans="1:7" x14ac:dyDescent="0.35">
      <c r="A261">
        <v>259</v>
      </c>
      <c r="B261">
        <v>133569941</v>
      </c>
      <c r="C261" s="1" t="s">
        <v>256</v>
      </c>
      <c r="D261" s="1" t="s">
        <v>6</v>
      </c>
      <c r="E261" s="2" t="s">
        <v>278</v>
      </c>
      <c r="F261" t="str">
        <f>VLOOKUP(B262,Planilha1!C:E,3,0)</f>
        <v>Blackfriday</v>
      </c>
      <c r="G261" s="11">
        <f>IF(combined_output_id__3[[#This Row],[y_pred]]=combined_output_id__3[[#This Row],[Coluna1]],1,0)</f>
        <v>1</v>
      </c>
    </row>
    <row r="262" spans="1:7" x14ac:dyDescent="0.35">
      <c r="A262">
        <v>260</v>
      </c>
      <c r="B262">
        <v>133582123</v>
      </c>
      <c r="C262" s="1" t="s">
        <v>257</v>
      </c>
      <c r="D262" s="1" t="s">
        <v>8</v>
      </c>
      <c r="E262" s="2" t="s">
        <v>305</v>
      </c>
      <c r="F262" t="str">
        <f>VLOOKUP(B263,Planilha1!C:E,3,0)</f>
        <v>Não</v>
      </c>
      <c r="G262" s="11">
        <f>IF(combined_output_id__3[[#This Row],[y_pred]]=combined_output_id__3[[#This Row],[Coluna1]],1,0)</f>
        <v>1</v>
      </c>
    </row>
    <row r="263" spans="1:7" x14ac:dyDescent="0.35">
      <c r="A263" s="3">
        <v>261</v>
      </c>
      <c r="B263" s="3">
        <v>133577395</v>
      </c>
      <c r="C263" s="4" t="s">
        <v>258</v>
      </c>
      <c r="D263" s="4" t="s">
        <v>8</v>
      </c>
      <c r="E263" s="5" t="s">
        <v>283</v>
      </c>
      <c r="F263" s="3" t="str">
        <f>VLOOKUP(B264,Planilha1!C:E,3,0)</f>
        <v>Blackfriday</v>
      </c>
      <c r="G263" s="4">
        <f>IF(combined_output_id__3[[#This Row],[y_pred]]=combined_output_id__3[[#This Row],[Coluna1]],1,0)</f>
        <v>0</v>
      </c>
    </row>
    <row r="264" spans="1:7" x14ac:dyDescent="0.35">
      <c r="A264" s="3">
        <v>262</v>
      </c>
      <c r="B264" s="3">
        <v>133584923</v>
      </c>
      <c r="C264" s="4" t="s">
        <v>259</v>
      </c>
      <c r="D264" s="4" t="s">
        <v>6</v>
      </c>
      <c r="E264" s="5" t="s">
        <v>288</v>
      </c>
      <c r="F264" s="3" t="str">
        <f>VLOOKUP(B265,Planilha1!C:E,3,0)</f>
        <v>Não</v>
      </c>
      <c r="G264" s="4">
        <f>IF(combined_output_id__3[[#This Row],[y_pred]]=combined_output_id__3[[#This Row],[Coluna1]],1,0)</f>
        <v>0</v>
      </c>
    </row>
    <row r="265" spans="1:7" x14ac:dyDescent="0.35">
      <c r="A265">
        <v>263</v>
      </c>
      <c r="B265">
        <v>133579911</v>
      </c>
      <c r="C265" s="1" t="s">
        <v>260</v>
      </c>
      <c r="D265" s="1" t="s">
        <v>8</v>
      </c>
      <c r="E265" s="2" t="s">
        <v>303</v>
      </c>
      <c r="F265" t="str">
        <f>VLOOKUP(B266,Planilha1!C:E,3,0)</f>
        <v>Não</v>
      </c>
      <c r="G265" s="11">
        <f>IF(combined_output_id__3[[#This Row],[y_pred]]=combined_output_id__3[[#This Row],[Coluna1]],1,0)</f>
        <v>1</v>
      </c>
    </row>
    <row r="266" spans="1:7" x14ac:dyDescent="0.35">
      <c r="A266" s="3">
        <v>264</v>
      </c>
      <c r="B266" s="3">
        <v>133593527</v>
      </c>
      <c r="C266" s="4" t="s">
        <v>261</v>
      </c>
      <c r="D266" s="4" t="s">
        <v>8</v>
      </c>
      <c r="E266" s="5" t="s">
        <v>320</v>
      </c>
      <c r="F266" s="3" t="str">
        <f>VLOOKUP(B267,Planilha1!C:E,3,0)</f>
        <v>Blackfriday</v>
      </c>
      <c r="G266" s="4">
        <f>IF(combined_output_id__3[[#This Row],[y_pred]]=combined_output_id__3[[#This Row],[Coluna1]],1,0)</f>
        <v>0</v>
      </c>
    </row>
    <row r="267" spans="1:7" x14ac:dyDescent="0.35">
      <c r="A267" s="3">
        <v>265</v>
      </c>
      <c r="B267" s="3">
        <v>133628495</v>
      </c>
      <c r="C267" s="4" t="s">
        <v>262</v>
      </c>
      <c r="D267" s="4" t="s">
        <v>6</v>
      </c>
      <c r="E267" s="5" t="s">
        <v>277</v>
      </c>
      <c r="F267" s="3" t="str">
        <f>VLOOKUP(B268,Planilha1!C:E,3,0)</f>
        <v>Não</v>
      </c>
      <c r="G267" s="4">
        <f>IF(combined_output_id__3[[#This Row],[y_pred]]=combined_output_id__3[[#This Row],[Coluna1]],1,0)</f>
        <v>0</v>
      </c>
    </row>
    <row r="268" spans="1:7" x14ac:dyDescent="0.35">
      <c r="A268" s="3">
        <v>266</v>
      </c>
      <c r="B268" s="3">
        <v>133489069</v>
      </c>
      <c r="C268" s="4" t="s">
        <v>168</v>
      </c>
      <c r="D268" s="4" t="s">
        <v>6</v>
      </c>
      <c r="E268" s="5" t="s">
        <v>277</v>
      </c>
      <c r="F268" s="3" t="str">
        <f>VLOOKUP(B269,Planilha1!C:E,3,0)</f>
        <v>Não</v>
      </c>
      <c r="G268" s="4">
        <f>IF(combined_output_id__3[[#This Row],[y_pred]]=combined_output_id__3[[#This Row],[Coluna1]],1,0)</f>
        <v>0</v>
      </c>
    </row>
    <row r="269" spans="1:7" x14ac:dyDescent="0.35">
      <c r="A269" s="3">
        <v>267</v>
      </c>
      <c r="B269" s="3">
        <v>133530645</v>
      </c>
      <c r="C269" s="4" t="s">
        <v>62</v>
      </c>
      <c r="D269" s="4" t="s">
        <v>6</v>
      </c>
      <c r="E269" s="5" t="s">
        <v>281</v>
      </c>
      <c r="F269" s="3" t="str">
        <f>VLOOKUP(B270,Planilha1!C:E,3,0)</f>
        <v>Não</v>
      </c>
      <c r="G269" s="4">
        <f>IF(combined_output_id__3[[#This Row],[y_pred]]=combined_output_id__3[[#This Row],[Coluna1]],1,0)</f>
        <v>0</v>
      </c>
    </row>
    <row r="270" spans="1:7" x14ac:dyDescent="0.35">
      <c r="A270">
        <v>268</v>
      </c>
      <c r="B270">
        <v>133589943</v>
      </c>
      <c r="C270" s="1" t="s">
        <v>263</v>
      </c>
      <c r="D270" s="1" t="s">
        <v>6</v>
      </c>
      <c r="E270" s="2" t="s">
        <v>277</v>
      </c>
      <c r="F270" t="str">
        <f>VLOOKUP(B271,Planilha1!C:E,3,0)</f>
        <v>Blackfriday</v>
      </c>
      <c r="G270" s="11">
        <f>IF(combined_output_id__3[[#This Row],[y_pred]]=combined_output_id__3[[#This Row],[Coluna1]],1,0)</f>
        <v>1</v>
      </c>
    </row>
    <row r="271" spans="1:7" x14ac:dyDescent="0.35">
      <c r="A271">
        <v>269</v>
      </c>
      <c r="B271">
        <v>133605303</v>
      </c>
      <c r="C271" s="1" t="s">
        <v>264</v>
      </c>
      <c r="D271" s="1" t="s">
        <v>6</v>
      </c>
      <c r="E271" s="2" t="s">
        <v>295</v>
      </c>
      <c r="F271" t="str">
        <f>VLOOKUP(B272,Planilha1!C:E,3,0)</f>
        <v>Blackfriday</v>
      </c>
      <c r="G271" s="11">
        <f>IF(combined_output_id__3[[#This Row],[y_pred]]=combined_output_id__3[[#This Row],[Coluna1]],1,0)</f>
        <v>1</v>
      </c>
    </row>
    <row r="272" spans="1:7" x14ac:dyDescent="0.35">
      <c r="A272">
        <v>270</v>
      </c>
      <c r="B272">
        <v>133600523</v>
      </c>
      <c r="C272" s="1" t="s">
        <v>265</v>
      </c>
      <c r="D272" s="1" t="s">
        <v>8</v>
      </c>
      <c r="E272" s="2" t="s">
        <v>289</v>
      </c>
      <c r="F272" t="str">
        <f>VLOOKUP(B273,Planilha1!C:E,3,0)</f>
        <v>Não</v>
      </c>
      <c r="G272" s="11">
        <f>IF(combined_output_id__3[[#This Row],[y_pred]]=combined_output_id__3[[#This Row],[Coluna1]],1,0)</f>
        <v>1</v>
      </c>
    </row>
    <row r="273" spans="1:7" x14ac:dyDescent="0.35">
      <c r="A273" s="3">
        <v>271</v>
      </c>
      <c r="B273" s="3">
        <v>133563219</v>
      </c>
      <c r="C273" s="4" t="s">
        <v>266</v>
      </c>
      <c r="D273" s="4" t="s">
        <v>6</v>
      </c>
      <c r="E273" s="5" t="s">
        <v>283</v>
      </c>
      <c r="F273" s="3" t="str">
        <f>VLOOKUP(B274,Planilha1!C:E,3,0)</f>
        <v>Não</v>
      </c>
      <c r="G273" s="4">
        <f>IF(combined_output_id__3[[#This Row],[y_pred]]=combined_output_id__3[[#This Row],[Coluna1]],1,0)</f>
        <v>0</v>
      </c>
    </row>
    <row r="274" spans="1:7" x14ac:dyDescent="0.35">
      <c r="A274" s="3">
        <v>272</v>
      </c>
      <c r="B274" s="3">
        <v>133562841</v>
      </c>
      <c r="C274" s="4" t="s">
        <v>267</v>
      </c>
      <c r="D274" s="4" t="s">
        <v>8</v>
      </c>
      <c r="E274" s="5" t="s">
        <v>303</v>
      </c>
      <c r="F274" s="3" t="str">
        <f>VLOOKUP(B275,Planilha1!C:E,3,0)</f>
        <v>Blackfriday</v>
      </c>
      <c r="G274" s="4">
        <f>IF(combined_output_id__3[[#This Row],[y_pred]]=combined_output_id__3[[#This Row],[Coluna1]],1,0)</f>
        <v>0</v>
      </c>
    </row>
    <row r="275" spans="1:7" x14ac:dyDescent="0.35">
      <c r="A275">
        <v>273</v>
      </c>
      <c r="B275">
        <v>133599555</v>
      </c>
      <c r="C275" s="1" t="s">
        <v>268</v>
      </c>
      <c r="D275" s="1" t="s">
        <v>8</v>
      </c>
      <c r="E275" s="2" t="s">
        <v>281</v>
      </c>
      <c r="F275" t="str">
        <f>VLOOKUP(B276,Planilha1!C:E,3,0)</f>
        <v>Não</v>
      </c>
      <c r="G275" s="11">
        <f>IF(combined_output_id__3[[#This Row],[y_pred]]=combined_output_id__3[[#This Row],[Coluna1]],1,0)</f>
        <v>1</v>
      </c>
    </row>
    <row r="276" spans="1:7" x14ac:dyDescent="0.35">
      <c r="A276" s="3">
        <v>274</v>
      </c>
      <c r="B276" s="3">
        <v>133460433</v>
      </c>
      <c r="C276" s="4" t="s">
        <v>191</v>
      </c>
      <c r="D276" s="4" t="s">
        <v>6</v>
      </c>
      <c r="E276" s="5" t="s">
        <v>278</v>
      </c>
      <c r="F276" s="3" t="str">
        <f>VLOOKUP(B277,Planilha1!C:E,3,0)</f>
        <v>Não</v>
      </c>
      <c r="G276" s="4">
        <f>IF(combined_output_id__3[[#This Row],[y_pred]]=combined_output_id__3[[#This Row],[Coluna1]],1,0)</f>
        <v>0</v>
      </c>
    </row>
    <row r="277" spans="1:7" x14ac:dyDescent="0.35">
      <c r="A277">
        <v>275</v>
      </c>
      <c r="B277">
        <v>133596025</v>
      </c>
      <c r="C277" s="1" t="s">
        <v>269</v>
      </c>
      <c r="D277" s="1" t="s">
        <v>8</v>
      </c>
      <c r="E277" s="2" t="s">
        <v>283</v>
      </c>
      <c r="F277" t="str">
        <f>VLOOKUP(B278,Planilha1!C:E,3,0)</f>
        <v>Não</v>
      </c>
      <c r="G277" s="11">
        <f>IF(combined_output_id__3[[#This Row],[y_pred]]=combined_output_id__3[[#This Row],[Coluna1]],1,0)</f>
        <v>1</v>
      </c>
    </row>
    <row r="278" spans="1:7" x14ac:dyDescent="0.35">
      <c r="A278">
        <v>276</v>
      </c>
      <c r="B278">
        <v>133613529</v>
      </c>
      <c r="C278" s="1" t="s">
        <v>270</v>
      </c>
      <c r="D278" s="1" t="s">
        <v>8</v>
      </c>
      <c r="E278" s="2" t="s">
        <v>289</v>
      </c>
      <c r="F278" t="str">
        <f>VLOOKUP(B279,Planilha1!C:E,3,0)</f>
        <v>Não</v>
      </c>
      <c r="G278" s="11">
        <f>IF(combined_output_id__3[[#This Row],[y_pred]]=combined_output_id__3[[#This Row],[Coluna1]],1,0)</f>
        <v>1</v>
      </c>
    </row>
    <row r="279" spans="1:7" x14ac:dyDescent="0.35">
      <c r="A279">
        <v>277</v>
      </c>
      <c r="B279">
        <v>133612087</v>
      </c>
      <c r="C279" s="1" t="s">
        <v>271</v>
      </c>
      <c r="D279" s="1" t="s">
        <v>6</v>
      </c>
      <c r="E279" s="2" t="s">
        <v>277</v>
      </c>
      <c r="F279" t="str">
        <f>VLOOKUP(B280,Planilha1!C:E,3,0)</f>
        <v>Blackfriday</v>
      </c>
      <c r="G279" s="11">
        <f>IF(combined_output_id__3[[#This Row],[y_pred]]=combined_output_id__3[[#This Row],[Coluna1]],1,0)</f>
        <v>1</v>
      </c>
    </row>
    <row r="280" spans="1:7" x14ac:dyDescent="0.35">
      <c r="A280">
        <v>278</v>
      </c>
      <c r="B280">
        <v>133609469</v>
      </c>
      <c r="C280" s="1" t="s">
        <v>272</v>
      </c>
      <c r="D280" s="1" t="s">
        <v>6</v>
      </c>
      <c r="E280" s="2" t="s">
        <v>277</v>
      </c>
      <c r="F280" t="str">
        <f>VLOOKUP(B281,Planilha1!C:E,3,0)</f>
        <v>Blackfriday</v>
      </c>
      <c r="G280" s="11">
        <f>IF(combined_output_id__3[[#This Row],[y_pred]]=combined_output_id__3[[#This Row],[Coluna1]],1,0)</f>
        <v>1</v>
      </c>
    </row>
    <row r="281" spans="1:7" x14ac:dyDescent="0.35">
      <c r="A281" s="3">
        <v>279</v>
      </c>
      <c r="B281" s="3">
        <v>133591889</v>
      </c>
      <c r="C281" s="4" t="s">
        <v>273</v>
      </c>
      <c r="D281" s="4" t="s">
        <v>6</v>
      </c>
      <c r="E281" s="5" t="s">
        <v>277</v>
      </c>
      <c r="F281" s="3" t="str">
        <f>VLOOKUP(B282,Planilha1!C:E,3,0)</f>
        <v>Não</v>
      </c>
      <c r="G281" s="4">
        <f>IF(combined_output_id__3[[#This Row],[y_pred]]=combined_output_id__3[[#This Row],[Coluna1]],1,0)</f>
        <v>0</v>
      </c>
    </row>
    <row r="282" spans="1:7" x14ac:dyDescent="0.35">
      <c r="A282" s="3">
        <v>280</v>
      </c>
      <c r="B282" s="3">
        <v>133561325</v>
      </c>
      <c r="C282" s="4" t="s">
        <v>274</v>
      </c>
      <c r="D282" s="4" t="s">
        <v>6</v>
      </c>
      <c r="E282" s="5" t="s">
        <v>279</v>
      </c>
      <c r="F282" s="3" t="str">
        <f>VLOOKUP(B283,Planilha1!C:E,3,0)</f>
        <v>Não</v>
      </c>
      <c r="G282" s="4">
        <f>IF(combined_output_id__3[[#This Row],[y_pred]]=combined_output_id__3[[#This Row],[Coluna1]],1,0)</f>
        <v>0</v>
      </c>
    </row>
    <row r="283" spans="1:7" x14ac:dyDescent="0.35">
      <c r="A283">
        <v>281</v>
      </c>
      <c r="B283">
        <v>133562781</v>
      </c>
      <c r="C283" s="1" t="s">
        <v>275</v>
      </c>
      <c r="D283" s="1" t="s">
        <v>6</v>
      </c>
      <c r="E283" s="2" t="s">
        <v>285</v>
      </c>
      <c r="F283" t="str">
        <f>VLOOKUP(B284,Planilha1!C:E,3,0)</f>
        <v>Blackfriday</v>
      </c>
      <c r="G283" s="11">
        <f>IF(combined_output_id__3[[#This Row],[y_pred]]=combined_output_id__3[[#This Row],[Coluna1]],1,0)</f>
        <v>1</v>
      </c>
    </row>
    <row r="284" spans="1:7" x14ac:dyDescent="0.35">
      <c r="A284" s="3">
        <v>282</v>
      </c>
      <c r="B284" s="3">
        <v>133603209</v>
      </c>
      <c r="C284" s="4" t="s">
        <v>276</v>
      </c>
      <c r="D284" s="4" t="s">
        <v>6</v>
      </c>
      <c r="E284" s="5" t="s">
        <v>294</v>
      </c>
      <c r="F284" s="3" t="s">
        <v>8</v>
      </c>
      <c r="G284" s="4">
        <f>IF(combined_output_id__3[[#This Row],[y_pred]]=combined_output_id__3[[#This Row],[Coluna1]],1,0)</f>
        <v>0</v>
      </c>
    </row>
  </sheetData>
  <phoneticPr fontId="6" type="noConversion"/>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D56A-509E-4544-ABF1-2C2BCFBE0C59}">
  <dimension ref="A1:E986"/>
  <sheetViews>
    <sheetView workbookViewId="0">
      <selection activeCell="L8" sqref="L8"/>
    </sheetView>
  </sheetViews>
  <sheetFormatPr defaultRowHeight="14.5" x14ac:dyDescent="0.35"/>
  <cols>
    <col min="1" max="1" width="16.453125" customWidth="1"/>
    <col min="3" max="3" width="19" customWidth="1"/>
    <col min="4" max="4" width="23.453125" customWidth="1"/>
    <col min="5" max="5" width="34.453125" customWidth="1"/>
  </cols>
  <sheetData>
    <row r="1" spans="1:5" ht="15" thickBot="1" x14ac:dyDescent="0.4">
      <c r="A1" s="6" t="s">
        <v>321</v>
      </c>
      <c r="B1" s="6" t="s">
        <v>322</v>
      </c>
      <c r="C1" s="6" t="s">
        <v>323</v>
      </c>
      <c r="D1" s="6" t="s">
        <v>324</v>
      </c>
      <c r="E1" s="6" t="s">
        <v>325</v>
      </c>
    </row>
    <row r="2" spans="1:5" ht="16" customHeight="1" thickBot="1" x14ac:dyDescent="0.4">
      <c r="A2" s="8" t="s">
        <v>326</v>
      </c>
      <c r="B2" s="8">
        <v>80</v>
      </c>
      <c r="C2" s="8">
        <v>133475387</v>
      </c>
      <c r="D2" s="8" t="s">
        <v>87</v>
      </c>
      <c r="E2" s="8" t="s">
        <v>8</v>
      </c>
    </row>
    <row r="3" spans="1:5" ht="16" customHeight="1" thickBot="1" x14ac:dyDescent="0.4">
      <c r="A3" s="8" t="s">
        <v>326</v>
      </c>
      <c r="B3" s="9">
        <v>87</v>
      </c>
      <c r="C3" s="9">
        <v>133483133</v>
      </c>
      <c r="D3" s="9" t="s">
        <v>327</v>
      </c>
      <c r="E3" s="9" t="s">
        <v>328</v>
      </c>
    </row>
    <row r="4" spans="1:5" ht="16" customHeight="1" thickBot="1" x14ac:dyDescent="0.4">
      <c r="A4" s="8" t="s">
        <v>326</v>
      </c>
      <c r="B4" s="8">
        <v>94</v>
      </c>
      <c r="C4" s="8">
        <v>133516657</v>
      </c>
      <c r="D4" s="8" t="s">
        <v>101</v>
      </c>
      <c r="E4" s="8" t="s">
        <v>8</v>
      </c>
    </row>
    <row r="5" spans="1:5" ht="16" customHeight="1" thickBot="1" x14ac:dyDescent="0.4">
      <c r="A5" s="8" t="s">
        <v>326</v>
      </c>
      <c r="B5" s="9">
        <v>101</v>
      </c>
      <c r="C5" s="9">
        <v>133464721</v>
      </c>
      <c r="D5" s="9" t="s">
        <v>108</v>
      </c>
      <c r="E5" s="9" t="s">
        <v>8</v>
      </c>
    </row>
    <row r="6" spans="1:5" ht="16" customHeight="1" thickBot="1" x14ac:dyDescent="0.4">
      <c r="A6" s="8" t="s">
        <v>326</v>
      </c>
      <c r="B6" s="8">
        <v>108</v>
      </c>
      <c r="C6" s="8">
        <v>133525885</v>
      </c>
      <c r="D6" s="8" t="s">
        <v>329</v>
      </c>
      <c r="E6" s="8" t="s">
        <v>8</v>
      </c>
    </row>
    <row r="7" spans="1:5" ht="16" customHeight="1" thickBot="1" x14ac:dyDescent="0.4">
      <c r="A7" s="8" t="s">
        <v>326</v>
      </c>
      <c r="B7" s="9">
        <v>115</v>
      </c>
      <c r="C7" s="9">
        <v>133475641</v>
      </c>
      <c r="D7" s="9" t="s">
        <v>122</v>
      </c>
      <c r="E7" s="9" t="s">
        <v>328</v>
      </c>
    </row>
    <row r="8" spans="1:5" ht="16" customHeight="1" thickBot="1" x14ac:dyDescent="0.4">
      <c r="A8" s="8" t="s">
        <v>326</v>
      </c>
      <c r="B8" s="8">
        <v>122</v>
      </c>
      <c r="C8" s="8">
        <v>133462817</v>
      </c>
      <c r="D8" s="8" t="s">
        <v>129</v>
      </c>
      <c r="E8" s="8" t="s">
        <v>8</v>
      </c>
    </row>
    <row r="9" spans="1:5" ht="16" customHeight="1" thickBot="1" x14ac:dyDescent="0.4">
      <c r="A9" s="8" t="s">
        <v>326</v>
      </c>
      <c r="B9" s="9">
        <v>129</v>
      </c>
      <c r="C9" s="9">
        <v>133466135</v>
      </c>
      <c r="D9" s="9" t="s">
        <v>136</v>
      </c>
      <c r="E9" s="9" t="s">
        <v>8</v>
      </c>
    </row>
    <row r="10" spans="1:5" ht="16" customHeight="1" thickBot="1" x14ac:dyDescent="0.4">
      <c r="A10" s="8" t="s">
        <v>326</v>
      </c>
      <c r="B10" s="8">
        <v>136</v>
      </c>
      <c r="C10" s="8">
        <v>133484997</v>
      </c>
      <c r="D10" s="8" t="s">
        <v>143</v>
      </c>
      <c r="E10" s="8" t="s">
        <v>8</v>
      </c>
    </row>
    <row r="11" spans="1:5" ht="16" customHeight="1" thickBot="1" x14ac:dyDescent="0.4">
      <c r="A11" s="8" t="s">
        <v>326</v>
      </c>
      <c r="B11" s="9">
        <v>143</v>
      </c>
      <c r="C11" s="9">
        <v>133524353</v>
      </c>
      <c r="D11" s="9" t="s">
        <v>150</v>
      </c>
      <c r="E11" s="9" t="s">
        <v>8</v>
      </c>
    </row>
    <row r="12" spans="1:5" ht="16" customHeight="1" thickBot="1" x14ac:dyDescent="0.4">
      <c r="A12" s="8" t="s">
        <v>326</v>
      </c>
      <c r="B12" s="8">
        <v>150</v>
      </c>
      <c r="C12" s="8">
        <v>133457473</v>
      </c>
      <c r="D12" s="8" t="s">
        <v>330</v>
      </c>
      <c r="E12" s="8" t="s">
        <v>8</v>
      </c>
    </row>
    <row r="13" spans="1:5" ht="16" customHeight="1" thickBot="1" x14ac:dyDescent="0.4">
      <c r="A13" s="8" t="s">
        <v>326</v>
      </c>
      <c r="B13" s="9">
        <v>157</v>
      </c>
      <c r="C13" s="9">
        <v>133521379</v>
      </c>
      <c r="D13" s="9" t="s">
        <v>164</v>
      </c>
      <c r="E13" s="9" t="s">
        <v>8</v>
      </c>
    </row>
    <row r="14" spans="1:5" ht="16" customHeight="1" thickBot="1" x14ac:dyDescent="0.4">
      <c r="A14" s="8" t="s">
        <v>326</v>
      </c>
      <c r="B14" s="8">
        <v>164</v>
      </c>
      <c r="C14" s="8">
        <v>133541111</v>
      </c>
      <c r="D14" s="8" t="s">
        <v>171</v>
      </c>
      <c r="E14" s="8" t="s">
        <v>328</v>
      </c>
    </row>
    <row r="15" spans="1:5" ht="16" customHeight="1" thickBot="1" x14ac:dyDescent="0.4">
      <c r="A15" s="8" t="s">
        <v>326</v>
      </c>
      <c r="B15" s="9">
        <v>171</v>
      </c>
      <c r="C15" s="9">
        <v>133452755</v>
      </c>
      <c r="D15" s="9" t="s">
        <v>178</v>
      </c>
      <c r="E15" s="9" t="s">
        <v>328</v>
      </c>
    </row>
    <row r="16" spans="1:5" ht="16" customHeight="1" thickBot="1" x14ac:dyDescent="0.4">
      <c r="A16" s="8" t="s">
        <v>326</v>
      </c>
      <c r="B16" s="8">
        <v>178</v>
      </c>
      <c r="C16" s="8">
        <v>133535887</v>
      </c>
      <c r="D16" s="8" t="s">
        <v>185</v>
      </c>
      <c r="E16" s="8" t="s">
        <v>8</v>
      </c>
    </row>
    <row r="17" spans="1:5" ht="16" customHeight="1" thickBot="1" x14ac:dyDescent="0.4">
      <c r="A17" s="8" t="s">
        <v>326</v>
      </c>
      <c r="B17" s="9">
        <v>185</v>
      </c>
      <c r="C17" s="9">
        <v>133450201</v>
      </c>
      <c r="D17" s="9" t="s">
        <v>72</v>
      </c>
      <c r="E17" s="9" t="s">
        <v>8</v>
      </c>
    </row>
    <row r="18" spans="1:5" ht="16" customHeight="1" thickBot="1" x14ac:dyDescent="0.4">
      <c r="A18" s="8" t="s">
        <v>326</v>
      </c>
      <c r="B18" s="8">
        <v>192</v>
      </c>
      <c r="C18" s="8">
        <v>133457473</v>
      </c>
      <c r="D18" s="8" t="s">
        <v>330</v>
      </c>
      <c r="E18" s="8" t="s">
        <v>8</v>
      </c>
    </row>
    <row r="19" spans="1:5" ht="16" customHeight="1" thickBot="1" x14ac:dyDescent="0.4">
      <c r="A19" s="8" t="s">
        <v>326</v>
      </c>
      <c r="B19" s="9">
        <v>199</v>
      </c>
      <c r="C19" s="9">
        <v>133576811</v>
      </c>
      <c r="D19" s="9" t="s">
        <v>201</v>
      </c>
      <c r="E19" s="9" t="s">
        <v>8</v>
      </c>
    </row>
    <row r="20" spans="1:5" ht="16" customHeight="1" thickBot="1" x14ac:dyDescent="0.4">
      <c r="A20" s="8" t="s">
        <v>326</v>
      </c>
      <c r="B20" s="8">
        <v>206</v>
      </c>
      <c r="C20" s="8">
        <v>133611967</v>
      </c>
      <c r="D20" s="8" t="s">
        <v>331</v>
      </c>
      <c r="E20" s="8" t="s">
        <v>8</v>
      </c>
    </row>
    <row r="21" spans="1:5" ht="16" customHeight="1" thickBot="1" x14ac:dyDescent="0.4">
      <c r="A21" s="8" t="s">
        <v>326</v>
      </c>
      <c r="B21" s="9">
        <v>213</v>
      </c>
      <c r="C21" s="9">
        <v>133616099</v>
      </c>
      <c r="D21" s="9" t="s">
        <v>214</v>
      </c>
      <c r="E21" s="9" t="s">
        <v>328</v>
      </c>
    </row>
    <row r="22" spans="1:5" ht="16" customHeight="1" thickBot="1" x14ac:dyDescent="0.4">
      <c r="A22" s="8" t="s">
        <v>326</v>
      </c>
      <c r="B22" s="8">
        <v>220</v>
      </c>
      <c r="C22" s="8">
        <v>133596647</v>
      </c>
      <c r="D22" s="8" t="s">
        <v>332</v>
      </c>
      <c r="E22" s="8" t="s">
        <v>328</v>
      </c>
    </row>
    <row r="23" spans="1:5" ht="16" customHeight="1" thickBot="1" x14ac:dyDescent="0.4">
      <c r="A23" s="8" t="s">
        <v>326</v>
      </c>
      <c r="B23" s="9">
        <v>227</v>
      </c>
      <c r="C23" s="9">
        <v>133576187</v>
      </c>
      <c r="D23" s="9" t="s">
        <v>333</v>
      </c>
      <c r="E23" s="9" t="s">
        <v>8</v>
      </c>
    </row>
    <row r="24" spans="1:5" ht="16" customHeight="1" thickBot="1" x14ac:dyDescent="0.4">
      <c r="A24" s="8" t="s">
        <v>326</v>
      </c>
      <c r="B24" s="8">
        <v>234</v>
      </c>
      <c r="C24" s="8">
        <v>133565687</v>
      </c>
      <c r="D24" s="8" t="s">
        <v>234</v>
      </c>
      <c r="E24" s="8" t="s">
        <v>328</v>
      </c>
    </row>
    <row r="25" spans="1:5" ht="16" customHeight="1" thickBot="1" x14ac:dyDescent="0.4">
      <c r="A25" s="8" t="s">
        <v>326</v>
      </c>
      <c r="B25" s="9">
        <v>241</v>
      </c>
      <c r="C25" s="9">
        <v>133631091</v>
      </c>
      <c r="D25" s="9" t="s">
        <v>241</v>
      </c>
      <c r="E25" s="9" t="s">
        <v>8</v>
      </c>
    </row>
    <row r="26" spans="1:5" ht="16" customHeight="1" thickBot="1" x14ac:dyDescent="0.4">
      <c r="A26" s="8" t="s">
        <v>326</v>
      </c>
      <c r="B26" s="8">
        <v>248</v>
      </c>
      <c r="C26" s="8">
        <v>133610729</v>
      </c>
      <c r="D26" s="8" t="s">
        <v>246</v>
      </c>
      <c r="E26" s="8" t="s">
        <v>328</v>
      </c>
    </row>
    <row r="27" spans="1:5" ht="16" customHeight="1" thickBot="1" x14ac:dyDescent="0.4">
      <c r="A27" s="8" t="s">
        <v>326</v>
      </c>
      <c r="B27" s="9">
        <v>255</v>
      </c>
      <c r="C27" s="9">
        <v>133565299</v>
      </c>
      <c r="D27" s="9" t="s">
        <v>253</v>
      </c>
      <c r="E27" s="9" t="s">
        <v>328</v>
      </c>
    </row>
    <row r="28" spans="1:5" ht="16" customHeight="1" thickBot="1" x14ac:dyDescent="0.4">
      <c r="A28" s="8" t="s">
        <v>326</v>
      </c>
      <c r="B28" s="8">
        <v>262</v>
      </c>
      <c r="C28" s="8">
        <v>133584923</v>
      </c>
      <c r="D28" s="8" t="s">
        <v>259</v>
      </c>
      <c r="E28" s="8" t="s">
        <v>328</v>
      </c>
    </row>
    <row r="29" spans="1:5" ht="16" customHeight="1" thickBot="1" x14ac:dyDescent="0.4">
      <c r="A29" s="8" t="s">
        <v>326</v>
      </c>
      <c r="B29" s="9">
        <v>269</v>
      </c>
      <c r="C29" s="9">
        <v>133605303</v>
      </c>
      <c r="D29" s="9" t="s">
        <v>334</v>
      </c>
      <c r="E29" s="9" t="s">
        <v>328</v>
      </c>
    </row>
    <row r="30" spans="1:5" ht="16" customHeight="1" thickBot="1" x14ac:dyDescent="0.4">
      <c r="A30" s="8" t="s">
        <v>326</v>
      </c>
      <c r="B30" s="8">
        <v>276</v>
      </c>
      <c r="C30" s="8">
        <v>133613529</v>
      </c>
      <c r="D30" s="8" t="s">
        <v>335</v>
      </c>
      <c r="E30" s="8" t="s">
        <v>8</v>
      </c>
    </row>
    <row r="31" spans="1:5" ht="16" customHeight="1" thickBot="1" x14ac:dyDescent="0.4">
      <c r="A31" s="8" t="s">
        <v>336</v>
      </c>
      <c r="B31" s="8">
        <v>76</v>
      </c>
      <c r="C31" s="8">
        <v>133521545</v>
      </c>
      <c r="D31" s="8" t="s">
        <v>83</v>
      </c>
      <c r="E31" s="8" t="s">
        <v>8</v>
      </c>
    </row>
    <row r="32" spans="1:5" ht="16" customHeight="1" thickBot="1" x14ac:dyDescent="0.4">
      <c r="A32" s="8" t="s">
        <v>336</v>
      </c>
      <c r="B32" s="9">
        <v>83</v>
      </c>
      <c r="C32" s="9">
        <v>133464055</v>
      </c>
      <c r="D32" s="9" t="s">
        <v>90</v>
      </c>
      <c r="E32" s="9" t="s">
        <v>8</v>
      </c>
    </row>
    <row r="33" spans="1:5" ht="16" customHeight="1" thickBot="1" x14ac:dyDescent="0.4">
      <c r="A33" s="8" t="s">
        <v>336</v>
      </c>
      <c r="B33" s="8">
        <v>90</v>
      </c>
      <c r="C33" s="8">
        <v>133485779</v>
      </c>
      <c r="D33" s="8" t="s">
        <v>97</v>
      </c>
      <c r="E33" s="8" t="s">
        <v>8</v>
      </c>
    </row>
    <row r="34" spans="1:5" ht="16" customHeight="1" thickBot="1" x14ac:dyDescent="0.4">
      <c r="A34" s="8" t="s">
        <v>336</v>
      </c>
      <c r="B34" s="9">
        <v>97</v>
      </c>
      <c r="C34" s="9">
        <v>133546451</v>
      </c>
      <c r="D34" s="9" t="s">
        <v>104</v>
      </c>
      <c r="E34" s="9" t="s">
        <v>8</v>
      </c>
    </row>
    <row r="35" spans="1:5" ht="16" customHeight="1" thickBot="1" x14ac:dyDescent="0.4">
      <c r="A35" s="8" t="s">
        <v>336</v>
      </c>
      <c r="B35" s="8">
        <v>104</v>
      </c>
      <c r="C35" s="8">
        <v>133472813</v>
      </c>
      <c r="D35" s="8" t="s">
        <v>111</v>
      </c>
      <c r="E35" s="8" t="s">
        <v>328</v>
      </c>
    </row>
    <row r="36" spans="1:5" ht="16" customHeight="1" thickBot="1" x14ac:dyDescent="0.4">
      <c r="A36" s="8" t="s">
        <v>336</v>
      </c>
      <c r="B36" s="9">
        <v>111</v>
      </c>
      <c r="C36" s="9">
        <v>133503661</v>
      </c>
      <c r="D36" s="9" t="s">
        <v>337</v>
      </c>
      <c r="E36" s="9" t="s">
        <v>8</v>
      </c>
    </row>
    <row r="37" spans="1:5" ht="16" customHeight="1" thickBot="1" x14ac:dyDescent="0.4">
      <c r="A37" s="8" t="s">
        <v>336</v>
      </c>
      <c r="B37" s="8">
        <v>118</v>
      </c>
      <c r="C37" s="8">
        <v>133533917</v>
      </c>
      <c r="D37" s="8" t="s">
        <v>338</v>
      </c>
      <c r="E37" s="8" t="s">
        <v>328</v>
      </c>
    </row>
    <row r="38" spans="1:5" ht="16" customHeight="1" thickBot="1" x14ac:dyDescent="0.4">
      <c r="A38" s="8" t="s">
        <v>336</v>
      </c>
      <c r="B38" s="9">
        <v>125</v>
      </c>
      <c r="C38" s="9">
        <v>133483779</v>
      </c>
      <c r="D38" s="9" t="s">
        <v>132</v>
      </c>
      <c r="E38" s="9" t="s">
        <v>8</v>
      </c>
    </row>
    <row r="39" spans="1:5" ht="16" customHeight="1" thickBot="1" x14ac:dyDescent="0.4">
      <c r="A39" s="8" t="s">
        <v>336</v>
      </c>
      <c r="B39" s="8">
        <v>132</v>
      </c>
      <c r="C39" s="8">
        <v>133526051</v>
      </c>
      <c r="D39" s="8" t="s">
        <v>139</v>
      </c>
      <c r="E39" s="8" t="s">
        <v>328</v>
      </c>
    </row>
    <row r="40" spans="1:5" ht="16" customHeight="1" thickBot="1" x14ac:dyDescent="0.4">
      <c r="A40" s="8" t="s">
        <v>336</v>
      </c>
      <c r="B40" s="9">
        <v>139</v>
      </c>
      <c r="C40" s="9">
        <v>133532443</v>
      </c>
      <c r="D40" s="9" t="s">
        <v>146</v>
      </c>
      <c r="E40" s="9" t="s">
        <v>328</v>
      </c>
    </row>
    <row r="41" spans="1:5" ht="16" customHeight="1" thickBot="1" x14ac:dyDescent="0.4">
      <c r="A41" s="8" t="s">
        <v>336</v>
      </c>
      <c r="B41" s="8">
        <v>146</v>
      </c>
      <c r="C41" s="8">
        <v>133512513</v>
      </c>
      <c r="D41" s="8" t="s">
        <v>153</v>
      </c>
      <c r="E41" s="8" t="s">
        <v>8</v>
      </c>
    </row>
    <row r="42" spans="1:5" ht="16" customHeight="1" thickBot="1" x14ac:dyDescent="0.4">
      <c r="A42" s="8" t="s">
        <v>336</v>
      </c>
      <c r="B42" s="9">
        <v>153</v>
      </c>
      <c r="C42" s="9">
        <v>133525095</v>
      </c>
      <c r="D42" s="9" t="s">
        <v>160</v>
      </c>
      <c r="E42" s="9" t="s">
        <v>328</v>
      </c>
    </row>
    <row r="43" spans="1:5" ht="16" customHeight="1" thickBot="1" x14ac:dyDescent="0.4">
      <c r="A43" s="8" t="s">
        <v>336</v>
      </c>
      <c r="B43" s="8">
        <v>160</v>
      </c>
      <c r="C43" s="8">
        <v>133506659</v>
      </c>
      <c r="D43" s="8" t="s">
        <v>167</v>
      </c>
      <c r="E43" s="8" t="s">
        <v>328</v>
      </c>
    </row>
    <row r="44" spans="1:5" ht="16" customHeight="1" thickBot="1" x14ac:dyDescent="0.4">
      <c r="A44" s="8" t="s">
        <v>336</v>
      </c>
      <c r="B44" s="9">
        <v>167</v>
      </c>
      <c r="C44" s="9">
        <v>133537651</v>
      </c>
      <c r="D44" s="9" t="s">
        <v>174</v>
      </c>
      <c r="E44" s="9" t="s">
        <v>328</v>
      </c>
    </row>
    <row r="45" spans="1:5" ht="16" customHeight="1" thickBot="1" x14ac:dyDescent="0.4">
      <c r="A45" s="8" t="s">
        <v>336</v>
      </c>
      <c r="B45" s="8">
        <v>174</v>
      </c>
      <c r="C45" s="8">
        <v>133516313</v>
      </c>
      <c r="D45" s="8" t="s">
        <v>181</v>
      </c>
      <c r="E45" s="8" t="s">
        <v>328</v>
      </c>
    </row>
    <row r="46" spans="1:5" ht="16" customHeight="1" thickBot="1" x14ac:dyDescent="0.4">
      <c r="A46" s="8" t="s">
        <v>336</v>
      </c>
      <c r="B46" s="9">
        <v>181</v>
      </c>
      <c r="C46" s="9">
        <v>133479793</v>
      </c>
      <c r="D46" s="9" t="s">
        <v>188</v>
      </c>
      <c r="E46" s="9" t="s">
        <v>328</v>
      </c>
    </row>
    <row r="47" spans="1:5" ht="16" customHeight="1" thickBot="1" x14ac:dyDescent="0.4">
      <c r="A47" s="8" t="s">
        <v>336</v>
      </c>
      <c r="B47" s="8">
        <v>188</v>
      </c>
      <c r="C47" s="8">
        <v>132951721</v>
      </c>
      <c r="D47" s="8" t="s">
        <v>193</v>
      </c>
      <c r="E47" s="8" t="s">
        <v>8</v>
      </c>
    </row>
    <row r="48" spans="1:5" ht="16" customHeight="1" thickBot="1" x14ac:dyDescent="0.4">
      <c r="A48" s="8" t="s">
        <v>336</v>
      </c>
      <c r="B48" s="9">
        <v>195</v>
      </c>
      <c r="C48" s="9">
        <v>133608073</v>
      </c>
      <c r="D48" s="9" t="s">
        <v>339</v>
      </c>
      <c r="E48" s="9" t="s">
        <v>328</v>
      </c>
    </row>
    <row r="49" spans="1:5" ht="16" customHeight="1" thickBot="1" x14ac:dyDescent="0.4">
      <c r="A49" s="8" t="s">
        <v>336</v>
      </c>
      <c r="B49" s="8">
        <v>202</v>
      </c>
      <c r="C49" s="8">
        <v>133616283</v>
      </c>
      <c r="D49" s="8" t="s">
        <v>204</v>
      </c>
      <c r="E49" s="8" t="s">
        <v>8</v>
      </c>
    </row>
    <row r="50" spans="1:5" ht="16" customHeight="1" thickBot="1" x14ac:dyDescent="0.4">
      <c r="A50" s="8" t="s">
        <v>336</v>
      </c>
      <c r="B50" s="9">
        <v>209</v>
      </c>
      <c r="C50" s="9">
        <v>133614411</v>
      </c>
      <c r="D50" s="9" t="s">
        <v>340</v>
      </c>
      <c r="E50" s="9" t="s">
        <v>328</v>
      </c>
    </row>
    <row r="51" spans="1:5" ht="16" customHeight="1" thickBot="1" x14ac:dyDescent="0.4">
      <c r="A51" s="8" t="s">
        <v>336</v>
      </c>
      <c r="B51" s="8">
        <v>216</v>
      </c>
      <c r="C51" s="8">
        <v>133633629</v>
      </c>
      <c r="D51" s="8" t="s">
        <v>217</v>
      </c>
      <c r="E51" s="8" t="s">
        <v>328</v>
      </c>
    </row>
    <row r="52" spans="1:5" ht="16" customHeight="1" thickBot="1" x14ac:dyDescent="0.4">
      <c r="A52" s="8" t="s">
        <v>336</v>
      </c>
      <c r="B52" s="9">
        <v>223</v>
      </c>
      <c r="C52" s="9">
        <v>133617729</v>
      </c>
      <c r="D52" s="9" t="s">
        <v>341</v>
      </c>
      <c r="E52" s="9" t="s">
        <v>328</v>
      </c>
    </row>
    <row r="53" spans="1:5" ht="16" customHeight="1" thickBot="1" x14ac:dyDescent="0.4">
      <c r="A53" s="8" t="s">
        <v>336</v>
      </c>
      <c r="B53" s="8">
        <v>230</v>
      </c>
      <c r="C53" s="8">
        <v>133597459</v>
      </c>
      <c r="D53" s="8" t="s">
        <v>230</v>
      </c>
      <c r="E53" s="8" t="s">
        <v>328</v>
      </c>
    </row>
    <row r="54" spans="1:5" ht="16" customHeight="1" thickBot="1" x14ac:dyDescent="0.4">
      <c r="A54" s="8" t="s">
        <v>336</v>
      </c>
      <c r="B54" s="9">
        <v>237</v>
      </c>
      <c r="C54" s="9">
        <v>133629463</v>
      </c>
      <c r="D54" s="9" t="s">
        <v>342</v>
      </c>
      <c r="E54" s="9" t="s">
        <v>328</v>
      </c>
    </row>
    <row r="55" spans="1:5" ht="16" customHeight="1" thickBot="1" x14ac:dyDescent="0.4">
      <c r="A55" s="8" t="s">
        <v>336</v>
      </c>
      <c r="B55" s="8">
        <v>244</v>
      </c>
      <c r="C55" s="8">
        <v>133606943</v>
      </c>
      <c r="D55" s="8" t="s">
        <v>242</v>
      </c>
      <c r="E55" s="8" t="s">
        <v>328</v>
      </c>
    </row>
    <row r="56" spans="1:5" ht="16" customHeight="1" thickBot="1" x14ac:dyDescent="0.4">
      <c r="A56" s="8" t="s">
        <v>336</v>
      </c>
      <c r="B56" s="9">
        <v>251</v>
      </c>
      <c r="C56" s="9">
        <v>133604439</v>
      </c>
      <c r="D56" s="9" t="s">
        <v>249</v>
      </c>
      <c r="E56" s="9" t="s">
        <v>8</v>
      </c>
    </row>
    <row r="57" spans="1:5" ht="16" customHeight="1" thickBot="1" x14ac:dyDescent="0.4">
      <c r="A57" s="8" t="s">
        <v>336</v>
      </c>
      <c r="B57" s="8">
        <v>258</v>
      </c>
      <c r="C57" s="8">
        <v>133600747</v>
      </c>
      <c r="D57" s="8" t="s">
        <v>255</v>
      </c>
      <c r="E57" s="8" t="s">
        <v>328</v>
      </c>
    </row>
    <row r="58" spans="1:5" ht="16" customHeight="1" thickBot="1" x14ac:dyDescent="0.4">
      <c r="A58" s="8" t="s">
        <v>336</v>
      </c>
      <c r="B58" s="9">
        <v>265</v>
      </c>
      <c r="C58" s="9">
        <v>133628495</v>
      </c>
      <c r="D58" s="9" t="s">
        <v>262</v>
      </c>
      <c r="E58" s="9" t="s">
        <v>328</v>
      </c>
    </row>
    <row r="59" spans="1:5" ht="16" customHeight="1" thickBot="1" x14ac:dyDescent="0.4">
      <c r="A59" s="8" t="s">
        <v>336</v>
      </c>
      <c r="B59" s="8">
        <v>272</v>
      </c>
      <c r="C59" s="8">
        <v>133562841</v>
      </c>
      <c r="D59" s="8" t="s">
        <v>343</v>
      </c>
      <c r="E59" s="8" t="s">
        <v>8</v>
      </c>
    </row>
    <row r="60" spans="1:5" ht="16" customHeight="1" thickBot="1" x14ac:dyDescent="0.4">
      <c r="A60" s="8" t="s">
        <v>336</v>
      </c>
      <c r="B60" s="9">
        <v>279</v>
      </c>
      <c r="C60" s="9">
        <v>133591889</v>
      </c>
      <c r="D60" s="9" t="s">
        <v>344</v>
      </c>
      <c r="E60" s="9" t="s">
        <v>328</v>
      </c>
    </row>
    <row r="61" spans="1:5" ht="16" customHeight="1" thickBot="1" x14ac:dyDescent="0.4">
      <c r="A61" s="9" t="s">
        <v>345</v>
      </c>
      <c r="B61" s="9">
        <v>75</v>
      </c>
      <c r="C61" s="9">
        <v>133456163</v>
      </c>
      <c r="D61" s="9" t="s">
        <v>346</v>
      </c>
      <c r="E61" s="9" t="s">
        <v>8</v>
      </c>
    </row>
    <row r="62" spans="1:5" ht="16" customHeight="1" thickBot="1" x14ac:dyDescent="0.4">
      <c r="A62" s="9" t="s">
        <v>345</v>
      </c>
      <c r="B62" s="8">
        <v>82</v>
      </c>
      <c r="C62" s="8">
        <v>133538969</v>
      </c>
      <c r="D62" s="8" t="s">
        <v>347</v>
      </c>
      <c r="E62" s="8" t="s">
        <v>8</v>
      </c>
    </row>
    <row r="63" spans="1:5" ht="16" customHeight="1" thickBot="1" x14ac:dyDescent="0.4">
      <c r="A63" s="9" t="s">
        <v>345</v>
      </c>
      <c r="B63" s="9">
        <v>89</v>
      </c>
      <c r="C63" s="9">
        <v>133504697</v>
      </c>
      <c r="D63" s="9" t="s">
        <v>96</v>
      </c>
      <c r="E63" s="9" t="s">
        <v>8</v>
      </c>
    </row>
    <row r="64" spans="1:5" ht="16" customHeight="1" thickBot="1" x14ac:dyDescent="0.4">
      <c r="A64" s="9" t="s">
        <v>345</v>
      </c>
      <c r="B64" s="8">
        <v>96</v>
      </c>
      <c r="C64" s="8">
        <v>133509233</v>
      </c>
      <c r="D64" s="8" t="s">
        <v>348</v>
      </c>
      <c r="E64" s="8" t="s">
        <v>328</v>
      </c>
    </row>
    <row r="65" spans="1:5" ht="16" customHeight="1" thickBot="1" x14ac:dyDescent="0.4">
      <c r="A65" s="9" t="s">
        <v>345</v>
      </c>
      <c r="B65" s="9">
        <v>103</v>
      </c>
      <c r="C65" s="9">
        <v>133483193</v>
      </c>
      <c r="D65" s="9" t="s">
        <v>110</v>
      </c>
      <c r="E65" s="9" t="s">
        <v>8</v>
      </c>
    </row>
    <row r="66" spans="1:5" ht="16" customHeight="1" thickBot="1" x14ac:dyDescent="0.4">
      <c r="A66" s="9" t="s">
        <v>345</v>
      </c>
      <c r="B66" s="8">
        <v>110</v>
      </c>
      <c r="C66" s="8">
        <v>133500353</v>
      </c>
      <c r="D66" s="8" t="s">
        <v>117</v>
      </c>
      <c r="E66" s="8" t="s">
        <v>8</v>
      </c>
    </row>
    <row r="67" spans="1:5" ht="16" customHeight="1" thickBot="1" x14ac:dyDescent="0.4">
      <c r="A67" s="9" t="s">
        <v>345</v>
      </c>
      <c r="B67" s="9">
        <v>117</v>
      </c>
      <c r="C67" s="9">
        <v>133467815</v>
      </c>
      <c r="D67" s="9" t="s">
        <v>124</v>
      </c>
      <c r="E67" s="9" t="s">
        <v>8</v>
      </c>
    </row>
    <row r="68" spans="1:5" ht="16" customHeight="1" thickBot="1" x14ac:dyDescent="0.4">
      <c r="A68" s="9" t="s">
        <v>345</v>
      </c>
      <c r="B68" s="8">
        <v>124</v>
      </c>
      <c r="C68" s="8">
        <v>133533249</v>
      </c>
      <c r="D68" s="8" t="s">
        <v>131</v>
      </c>
      <c r="E68" s="8" t="s">
        <v>8</v>
      </c>
    </row>
    <row r="69" spans="1:5" ht="16" customHeight="1" thickBot="1" x14ac:dyDescent="0.4">
      <c r="A69" s="9" t="s">
        <v>345</v>
      </c>
      <c r="B69" s="9">
        <v>131</v>
      </c>
      <c r="C69" s="9">
        <v>133471385</v>
      </c>
      <c r="D69" s="9" t="s">
        <v>349</v>
      </c>
      <c r="E69" s="9" t="s">
        <v>8</v>
      </c>
    </row>
    <row r="70" spans="1:5" ht="16" customHeight="1" thickBot="1" x14ac:dyDescent="0.4">
      <c r="A70" s="9" t="s">
        <v>345</v>
      </c>
      <c r="B70" s="8">
        <v>138</v>
      </c>
      <c r="C70" s="8">
        <v>133547603</v>
      </c>
      <c r="D70" s="8" t="s">
        <v>350</v>
      </c>
      <c r="E70" s="8" t="s">
        <v>328</v>
      </c>
    </row>
    <row r="71" spans="1:5" ht="16" customHeight="1" thickBot="1" x14ac:dyDescent="0.4">
      <c r="A71" s="9" t="s">
        <v>345</v>
      </c>
      <c r="B71" s="9">
        <v>145</v>
      </c>
      <c r="C71" s="9">
        <v>133540301</v>
      </c>
      <c r="D71" s="9" t="s">
        <v>152</v>
      </c>
      <c r="E71" s="9" t="s">
        <v>328</v>
      </c>
    </row>
    <row r="72" spans="1:5" ht="16" customHeight="1" thickBot="1" x14ac:dyDescent="0.4">
      <c r="A72" s="9" t="s">
        <v>345</v>
      </c>
      <c r="B72" s="8">
        <v>152</v>
      </c>
      <c r="C72" s="8">
        <v>133518895</v>
      </c>
      <c r="D72" s="8" t="s">
        <v>159</v>
      </c>
      <c r="E72" s="8" t="s">
        <v>8</v>
      </c>
    </row>
    <row r="73" spans="1:5" ht="16" customHeight="1" thickBot="1" x14ac:dyDescent="0.4">
      <c r="A73" s="9" t="s">
        <v>345</v>
      </c>
      <c r="B73" s="9">
        <v>159</v>
      </c>
      <c r="C73" s="9">
        <v>133546119</v>
      </c>
      <c r="D73" s="9" t="s">
        <v>166</v>
      </c>
      <c r="E73" s="9" t="s">
        <v>328</v>
      </c>
    </row>
    <row r="74" spans="1:5" ht="16" customHeight="1" thickBot="1" x14ac:dyDescent="0.4">
      <c r="A74" s="9" t="s">
        <v>345</v>
      </c>
      <c r="B74" s="8">
        <v>166</v>
      </c>
      <c r="C74" s="8">
        <v>133543015</v>
      </c>
      <c r="D74" s="8" t="s">
        <v>173</v>
      </c>
      <c r="E74" s="8" t="s">
        <v>8</v>
      </c>
    </row>
    <row r="75" spans="1:5" ht="16" customHeight="1" thickBot="1" x14ac:dyDescent="0.4">
      <c r="A75" s="9" t="s">
        <v>345</v>
      </c>
      <c r="B75" s="9">
        <v>173</v>
      </c>
      <c r="C75" s="9">
        <v>133485433</v>
      </c>
      <c r="D75" s="9" t="s">
        <v>180</v>
      </c>
      <c r="E75" s="9" t="s">
        <v>8</v>
      </c>
    </row>
    <row r="76" spans="1:5" ht="16" customHeight="1" thickBot="1" x14ac:dyDescent="0.4">
      <c r="A76" s="9" t="s">
        <v>345</v>
      </c>
      <c r="B76" s="8">
        <v>180</v>
      </c>
      <c r="C76" s="8">
        <v>133465675</v>
      </c>
      <c r="D76" s="8" t="s">
        <v>187</v>
      </c>
      <c r="E76" s="8" t="s">
        <v>8</v>
      </c>
    </row>
    <row r="77" spans="1:5" ht="16" customHeight="1" thickBot="1" x14ac:dyDescent="0.4">
      <c r="A77" s="9" t="s">
        <v>345</v>
      </c>
      <c r="B77" s="9">
        <v>187</v>
      </c>
      <c r="C77" s="9">
        <v>133457299</v>
      </c>
      <c r="D77" s="9" t="s">
        <v>165</v>
      </c>
      <c r="E77" s="9" t="s">
        <v>328</v>
      </c>
    </row>
    <row r="78" spans="1:5" ht="16" customHeight="1" thickBot="1" x14ac:dyDescent="0.4">
      <c r="A78" s="9" t="s">
        <v>345</v>
      </c>
      <c r="B78" s="8">
        <v>194</v>
      </c>
      <c r="C78" s="8">
        <v>133579993</v>
      </c>
      <c r="D78" s="8" t="s">
        <v>196</v>
      </c>
      <c r="E78" s="8" t="s">
        <v>328</v>
      </c>
    </row>
    <row r="79" spans="1:5" ht="16" customHeight="1" thickBot="1" x14ac:dyDescent="0.4">
      <c r="A79" s="9" t="s">
        <v>345</v>
      </c>
      <c r="B79" s="9">
        <v>201</v>
      </c>
      <c r="C79" s="9">
        <v>133490501</v>
      </c>
      <c r="D79" s="9" t="s">
        <v>203</v>
      </c>
      <c r="E79" s="9" t="s">
        <v>8</v>
      </c>
    </row>
    <row r="80" spans="1:5" ht="16" customHeight="1" thickBot="1" x14ac:dyDescent="0.4">
      <c r="A80" s="9" t="s">
        <v>345</v>
      </c>
      <c r="B80" s="8">
        <v>208</v>
      </c>
      <c r="C80" s="8">
        <v>133479793</v>
      </c>
      <c r="D80" s="8" t="s">
        <v>188</v>
      </c>
      <c r="E80" s="8" t="s">
        <v>8</v>
      </c>
    </row>
    <row r="81" spans="1:5" ht="16" customHeight="1" thickBot="1" x14ac:dyDescent="0.4">
      <c r="A81" s="9" t="s">
        <v>345</v>
      </c>
      <c r="B81" s="9">
        <v>215</v>
      </c>
      <c r="C81" s="9">
        <v>133633213</v>
      </c>
      <c r="D81" s="9" t="s">
        <v>216</v>
      </c>
      <c r="E81" s="9" t="s">
        <v>8</v>
      </c>
    </row>
    <row r="82" spans="1:5" ht="16" customHeight="1" thickBot="1" x14ac:dyDescent="0.4">
      <c r="A82" s="9" t="s">
        <v>345</v>
      </c>
      <c r="B82" s="8">
        <v>222</v>
      </c>
      <c r="C82" s="8">
        <v>133605115</v>
      </c>
      <c r="D82" s="8" t="s">
        <v>351</v>
      </c>
      <c r="E82" s="8" t="s">
        <v>328</v>
      </c>
    </row>
    <row r="83" spans="1:5" ht="16" customHeight="1" thickBot="1" x14ac:dyDescent="0.4">
      <c r="A83" s="9" t="s">
        <v>345</v>
      </c>
      <c r="B83" s="9">
        <v>229</v>
      </c>
      <c r="C83" s="9">
        <v>133610905</v>
      </c>
      <c r="D83" s="9" t="s">
        <v>229</v>
      </c>
      <c r="E83" s="9" t="s">
        <v>328</v>
      </c>
    </row>
    <row r="84" spans="1:5" ht="16" customHeight="1" thickBot="1" x14ac:dyDescent="0.4">
      <c r="A84" s="9" t="s">
        <v>345</v>
      </c>
      <c r="B84" s="8">
        <v>236</v>
      </c>
      <c r="C84" s="8">
        <v>133596355</v>
      </c>
      <c r="D84" s="8" t="s">
        <v>236</v>
      </c>
      <c r="E84" s="8" t="s">
        <v>8</v>
      </c>
    </row>
    <row r="85" spans="1:5" ht="16" customHeight="1" thickBot="1" x14ac:dyDescent="0.4">
      <c r="A85" s="9" t="s">
        <v>345</v>
      </c>
      <c r="B85" s="9">
        <v>243</v>
      </c>
      <c r="C85" s="9">
        <v>133489643</v>
      </c>
      <c r="D85" s="9" t="s">
        <v>74</v>
      </c>
      <c r="E85" s="9" t="s">
        <v>8</v>
      </c>
    </row>
    <row r="86" spans="1:5" ht="16" customHeight="1" thickBot="1" x14ac:dyDescent="0.4">
      <c r="A86" s="9" t="s">
        <v>345</v>
      </c>
      <c r="B86" s="8">
        <v>250</v>
      </c>
      <c r="C86" s="8">
        <v>133592767</v>
      </c>
      <c r="D86" s="8" t="s">
        <v>248</v>
      </c>
      <c r="E86" s="8" t="s">
        <v>328</v>
      </c>
    </row>
    <row r="87" spans="1:5" ht="16" customHeight="1" thickBot="1" x14ac:dyDescent="0.4">
      <c r="A87" s="9" t="s">
        <v>345</v>
      </c>
      <c r="B87" s="9">
        <v>257</v>
      </c>
      <c r="C87" s="9">
        <v>133584779</v>
      </c>
      <c r="D87" s="9" t="s">
        <v>254</v>
      </c>
      <c r="E87" s="9" t="s">
        <v>328</v>
      </c>
    </row>
    <row r="88" spans="1:5" ht="16" customHeight="1" thickBot="1" x14ac:dyDescent="0.4">
      <c r="A88" s="9" t="s">
        <v>345</v>
      </c>
      <c r="B88" s="8">
        <v>264</v>
      </c>
      <c r="C88" s="8">
        <v>133593527</v>
      </c>
      <c r="D88" s="8" t="s">
        <v>261</v>
      </c>
      <c r="E88" s="8" t="s">
        <v>8</v>
      </c>
    </row>
    <row r="89" spans="1:5" ht="16" customHeight="1" thickBot="1" x14ac:dyDescent="0.4">
      <c r="A89" s="9" t="s">
        <v>345</v>
      </c>
      <c r="B89" s="9">
        <v>271</v>
      </c>
      <c r="C89" s="9">
        <v>133563219</v>
      </c>
      <c r="D89" s="9" t="s">
        <v>352</v>
      </c>
      <c r="E89" s="9" t="s">
        <v>8</v>
      </c>
    </row>
    <row r="90" spans="1:5" ht="16" customHeight="1" thickBot="1" x14ac:dyDescent="0.4">
      <c r="A90" s="9" t="s">
        <v>345</v>
      </c>
      <c r="B90" s="8">
        <v>278</v>
      </c>
      <c r="C90" s="8">
        <v>133609469</v>
      </c>
      <c r="D90" s="8" t="s">
        <v>272</v>
      </c>
      <c r="E90" s="8" t="s">
        <v>328</v>
      </c>
    </row>
    <row r="91" spans="1:5" ht="16" customHeight="1" thickBot="1" x14ac:dyDescent="0.4">
      <c r="A91" s="8" t="s">
        <v>353</v>
      </c>
      <c r="B91" s="8">
        <v>78</v>
      </c>
      <c r="C91" s="8">
        <v>133506535</v>
      </c>
      <c r="D91" s="8" t="s">
        <v>85</v>
      </c>
      <c r="E91" s="8" t="s">
        <v>8</v>
      </c>
    </row>
    <row r="92" spans="1:5" ht="16" customHeight="1" thickBot="1" x14ac:dyDescent="0.4">
      <c r="A92" s="8" t="s">
        <v>353</v>
      </c>
      <c r="B92" s="9">
        <v>85</v>
      </c>
      <c r="C92" s="9">
        <v>133529345</v>
      </c>
      <c r="D92" s="9" t="s">
        <v>354</v>
      </c>
      <c r="E92" s="9" t="s">
        <v>8</v>
      </c>
    </row>
    <row r="93" spans="1:5" ht="16" customHeight="1" thickBot="1" x14ac:dyDescent="0.4">
      <c r="A93" s="8" t="s">
        <v>353</v>
      </c>
      <c r="B93" s="8">
        <v>92</v>
      </c>
      <c r="C93" s="8">
        <v>133504175</v>
      </c>
      <c r="D93" s="8" t="s">
        <v>99</v>
      </c>
      <c r="E93" s="8" t="s">
        <v>8</v>
      </c>
    </row>
    <row r="94" spans="1:5" ht="16" customHeight="1" thickBot="1" x14ac:dyDescent="0.4">
      <c r="A94" s="8" t="s">
        <v>353</v>
      </c>
      <c r="B94" s="9">
        <v>99</v>
      </c>
      <c r="C94" s="9">
        <v>133524377</v>
      </c>
      <c r="D94" s="9" t="s">
        <v>106</v>
      </c>
      <c r="E94" s="9" t="s">
        <v>8</v>
      </c>
    </row>
    <row r="95" spans="1:5" ht="16" customHeight="1" thickBot="1" x14ac:dyDescent="0.4">
      <c r="A95" s="8" t="s">
        <v>353</v>
      </c>
      <c r="B95" s="8">
        <v>106</v>
      </c>
      <c r="C95" s="8">
        <v>133506245</v>
      </c>
      <c r="D95" s="8" t="s">
        <v>113</v>
      </c>
      <c r="E95" s="8" t="s">
        <v>8</v>
      </c>
    </row>
    <row r="96" spans="1:5" ht="16" customHeight="1" thickBot="1" x14ac:dyDescent="0.4">
      <c r="A96" s="8" t="s">
        <v>353</v>
      </c>
      <c r="B96" s="9">
        <v>113</v>
      </c>
      <c r="C96" s="9">
        <v>133538619</v>
      </c>
      <c r="D96" s="9" t="s">
        <v>355</v>
      </c>
      <c r="E96" s="9" t="s">
        <v>328</v>
      </c>
    </row>
    <row r="97" spans="1:5" ht="16" customHeight="1" thickBot="1" x14ac:dyDescent="0.4">
      <c r="A97" s="8" t="s">
        <v>353</v>
      </c>
      <c r="B97" s="8">
        <v>120</v>
      </c>
      <c r="C97" s="8">
        <v>133521479</v>
      </c>
      <c r="D97" s="8" t="s">
        <v>356</v>
      </c>
      <c r="E97" s="8" t="s">
        <v>328</v>
      </c>
    </row>
    <row r="98" spans="1:5" ht="16" customHeight="1" thickBot="1" x14ac:dyDescent="0.4">
      <c r="A98" s="8" t="s">
        <v>353</v>
      </c>
      <c r="B98" s="9">
        <v>127</v>
      </c>
      <c r="C98" s="9">
        <v>133504733</v>
      </c>
      <c r="D98" s="9" t="s">
        <v>134</v>
      </c>
      <c r="E98" s="9" t="s">
        <v>8</v>
      </c>
    </row>
    <row r="99" spans="1:5" ht="16" customHeight="1" thickBot="1" x14ac:dyDescent="0.4">
      <c r="A99" s="8" t="s">
        <v>353</v>
      </c>
      <c r="B99" s="8">
        <v>134</v>
      </c>
      <c r="C99" s="8">
        <v>133482501</v>
      </c>
      <c r="D99" s="8" t="s">
        <v>357</v>
      </c>
      <c r="E99" s="8" t="s">
        <v>328</v>
      </c>
    </row>
    <row r="100" spans="1:5" ht="16" customHeight="1" thickBot="1" x14ac:dyDescent="0.4">
      <c r="A100" s="8" t="s">
        <v>353</v>
      </c>
      <c r="B100" s="9">
        <v>141</v>
      </c>
      <c r="C100" s="9">
        <v>133499477</v>
      </c>
      <c r="D100" s="9" t="s">
        <v>148</v>
      </c>
      <c r="E100" s="9" t="s">
        <v>8</v>
      </c>
    </row>
    <row r="101" spans="1:5" ht="16" customHeight="1" thickBot="1" x14ac:dyDescent="0.4">
      <c r="A101" s="8" t="s">
        <v>353</v>
      </c>
      <c r="B101" s="8">
        <v>148</v>
      </c>
      <c r="C101" s="8">
        <v>133481903</v>
      </c>
      <c r="D101" s="8" t="s">
        <v>155</v>
      </c>
      <c r="E101" s="8" t="s">
        <v>8</v>
      </c>
    </row>
    <row r="102" spans="1:5" ht="16" customHeight="1" thickBot="1" x14ac:dyDescent="0.4">
      <c r="A102" s="8" t="s">
        <v>353</v>
      </c>
      <c r="B102" s="9">
        <v>155</v>
      </c>
      <c r="C102" s="9">
        <v>133502623</v>
      </c>
      <c r="D102" s="9" t="s">
        <v>162</v>
      </c>
      <c r="E102" s="9" t="s">
        <v>8</v>
      </c>
    </row>
    <row r="103" spans="1:5" ht="16" customHeight="1" thickBot="1" x14ac:dyDescent="0.4">
      <c r="A103" s="8" t="s">
        <v>353</v>
      </c>
      <c r="B103" s="8">
        <v>162</v>
      </c>
      <c r="C103" s="8">
        <v>133451273</v>
      </c>
      <c r="D103" s="8" t="s">
        <v>358</v>
      </c>
      <c r="E103" s="8" t="s">
        <v>328</v>
      </c>
    </row>
    <row r="104" spans="1:5" ht="16" customHeight="1" thickBot="1" x14ac:dyDescent="0.4">
      <c r="A104" s="8" t="s">
        <v>353</v>
      </c>
      <c r="B104" s="9">
        <v>169</v>
      </c>
      <c r="C104" s="9">
        <v>133547341</v>
      </c>
      <c r="D104" s="9" t="s">
        <v>176</v>
      </c>
      <c r="E104" s="9" t="s">
        <v>8</v>
      </c>
    </row>
    <row r="105" spans="1:5" ht="16" customHeight="1" thickBot="1" x14ac:dyDescent="0.4">
      <c r="A105" s="8" t="s">
        <v>353</v>
      </c>
      <c r="B105" s="8">
        <v>176</v>
      </c>
      <c r="C105" s="8">
        <v>133487493</v>
      </c>
      <c r="D105" s="8" t="s">
        <v>183</v>
      </c>
      <c r="E105" s="8" t="s">
        <v>8</v>
      </c>
    </row>
    <row r="106" spans="1:5" ht="16" customHeight="1" thickBot="1" x14ac:dyDescent="0.4">
      <c r="A106" s="8" t="s">
        <v>353</v>
      </c>
      <c r="B106" s="9">
        <v>183</v>
      </c>
      <c r="C106" s="9">
        <v>133465549</v>
      </c>
      <c r="D106" s="9" t="s">
        <v>190</v>
      </c>
      <c r="E106" s="9" t="s">
        <v>8</v>
      </c>
    </row>
    <row r="107" spans="1:5" ht="16" customHeight="1" thickBot="1" x14ac:dyDescent="0.4">
      <c r="A107" s="8" t="s">
        <v>353</v>
      </c>
      <c r="B107" s="8">
        <v>190</v>
      </c>
      <c r="C107" s="8">
        <v>133452059</v>
      </c>
      <c r="D107" s="8" t="s">
        <v>140</v>
      </c>
      <c r="E107" s="8" t="s">
        <v>8</v>
      </c>
    </row>
    <row r="108" spans="1:5" ht="16" customHeight="1" thickBot="1" x14ac:dyDescent="0.4">
      <c r="A108" s="8" t="s">
        <v>353</v>
      </c>
      <c r="B108" s="9">
        <v>197</v>
      </c>
      <c r="C108" s="9">
        <v>133596581</v>
      </c>
      <c r="D108" s="9" t="s">
        <v>199</v>
      </c>
      <c r="E108" s="9" t="s">
        <v>328</v>
      </c>
    </row>
    <row r="109" spans="1:5" ht="16" customHeight="1" thickBot="1" x14ac:dyDescent="0.4">
      <c r="A109" s="8" t="s">
        <v>353</v>
      </c>
      <c r="B109" s="8">
        <v>204</v>
      </c>
      <c r="C109" s="8">
        <v>133587357</v>
      </c>
      <c r="D109" s="8" t="s">
        <v>206</v>
      </c>
      <c r="E109" s="8" t="s">
        <v>8</v>
      </c>
    </row>
    <row r="110" spans="1:5" ht="16" customHeight="1" thickBot="1" x14ac:dyDescent="0.4">
      <c r="A110" s="8" t="s">
        <v>353</v>
      </c>
      <c r="B110" s="9">
        <v>211</v>
      </c>
      <c r="C110" s="9">
        <v>133630991</v>
      </c>
      <c r="D110" s="9" t="s">
        <v>212</v>
      </c>
      <c r="E110" s="9" t="s">
        <v>8</v>
      </c>
    </row>
    <row r="111" spans="1:5" ht="16" customHeight="1" thickBot="1" x14ac:dyDescent="0.4">
      <c r="A111" s="8" t="s">
        <v>353</v>
      </c>
      <c r="B111" s="8">
        <v>218</v>
      </c>
      <c r="C111" s="8">
        <v>133583617</v>
      </c>
      <c r="D111" s="8" t="s">
        <v>219</v>
      </c>
      <c r="E111" s="8" t="s">
        <v>8</v>
      </c>
    </row>
    <row r="112" spans="1:5" ht="16" customHeight="1" thickBot="1" x14ac:dyDescent="0.4">
      <c r="A112" s="8" t="s">
        <v>353</v>
      </c>
      <c r="B112" s="9">
        <v>225</v>
      </c>
      <c r="C112" s="9">
        <v>133577871</v>
      </c>
      <c r="D112" s="9" t="s">
        <v>359</v>
      </c>
      <c r="E112" s="9" t="s">
        <v>8</v>
      </c>
    </row>
    <row r="113" spans="1:5" ht="16" customHeight="1" thickBot="1" x14ac:dyDescent="0.4">
      <c r="A113" s="8" t="s">
        <v>353</v>
      </c>
      <c r="B113" s="8">
        <v>232</v>
      </c>
      <c r="C113" s="8">
        <v>133569817</v>
      </c>
      <c r="D113" s="8" t="s">
        <v>232</v>
      </c>
      <c r="E113" s="8" t="s">
        <v>328</v>
      </c>
    </row>
    <row r="114" spans="1:5" ht="16" customHeight="1" thickBot="1" x14ac:dyDescent="0.4">
      <c r="A114" s="8" t="s">
        <v>353</v>
      </c>
      <c r="B114" s="9">
        <v>239</v>
      </c>
      <c r="C114" s="9">
        <v>133568909</v>
      </c>
      <c r="D114" s="9" t="s">
        <v>239</v>
      </c>
      <c r="E114" s="9" t="s">
        <v>8</v>
      </c>
    </row>
    <row r="115" spans="1:5" ht="16" customHeight="1" thickBot="1" x14ac:dyDescent="0.4">
      <c r="A115" s="8" t="s">
        <v>353</v>
      </c>
      <c r="B115" s="8">
        <v>246</v>
      </c>
      <c r="C115" s="8">
        <v>133610043</v>
      </c>
      <c r="D115" s="8" t="s">
        <v>244</v>
      </c>
      <c r="E115" s="8" t="s">
        <v>328</v>
      </c>
    </row>
    <row r="116" spans="1:5" ht="16" customHeight="1" thickBot="1" x14ac:dyDescent="0.4">
      <c r="A116" s="8" t="s">
        <v>353</v>
      </c>
      <c r="B116" s="9">
        <v>253</v>
      </c>
      <c r="C116" s="9">
        <v>133628691</v>
      </c>
      <c r="D116" s="9" t="s">
        <v>360</v>
      </c>
      <c r="E116" s="9" t="s">
        <v>328</v>
      </c>
    </row>
    <row r="117" spans="1:5" ht="16" customHeight="1" thickBot="1" x14ac:dyDescent="0.4">
      <c r="A117" s="8" t="s">
        <v>353</v>
      </c>
      <c r="B117" s="8">
        <v>260</v>
      </c>
      <c r="C117" s="8">
        <v>133582123</v>
      </c>
      <c r="D117" s="8" t="s">
        <v>257</v>
      </c>
      <c r="E117" s="8" t="s">
        <v>328</v>
      </c>
    </row>
    <row r="118" spans="1:5" ht="16" customHeight="1" thickBot="1" x14ac:dyDescent="0.4">
      <c r="A118" s="8" t="s">
        <v>353</v>
      </c>
      <c r="B118" s="9">
        <v>267</v>
      </c>
      <c r="C118" s="9">
        <v>133530645</v>
      </c>
      <c r="D118" s="9" t="s">
        <v>62</v>
      </c>
      <c r="E118" s="9" t="s">
        <v>8</v>
      </c>
    </row>
    <row r="119" spans="1:5" ht="16" customHeight="1" thickBot="1" x14ac:dyDescent="0.4">
      <c r="A119" s="8" t="s">
        <v>353</v>
      </c>
      <c r="B119" s="8">
        <v>274</v>
      </c>
      <c r="C119" s="8">
        <v>133460433</v>
      </c>
      <c r="D119" s="8" t="s">
        <v>361</v>
      </c>
      <c r="E119" s="8" t="s">
        <v>8</v>
      </c>
    </row>
    <row r="120" spans="1:5" ht="16" customHeight="1" thickBot="1" x14ac:dyDescent="0.4">
      <c r="A120" s="8" t="s">
        <v>353</v>
      </c>
      <c r="B120" s="9">
        <v>281</v>
      </c>
      <c r="C120" s="9">
        <v>133562781</v>
      </c>
      <c r="D120" s="9" t="s">
        <v>275</v>
      </c>
      <c r="E120" s="9" t="s">
        <v>8</v>
      </c>
    </row>
    <row r="121" spans="1:5" ht="16" customHeight="1" thickBot="1" x14ac:dyDescent="0.4">
      <c r="A121" s="8" t="s">
        <v>362</v>
      </c>
      <c r="B121" s="8">
        <v>74</v>
      </c>
      <c r="C121" s="8">
        <v>133480505</v>
      </c>
      <c r="D121" s="8" t="s">
        <v>81</v>
      </c>
      <c r="E121" s="8" t="s">
        <v>328</v>
      </c>
    </row>
    <row r="122" spans="1:5" ht="16" customHeight="1" thickBot="1" x14ac:dyDescent="0.4">
      <c r="A122" s="8" t="s">
        <v>362</v>
      </c>
      <c r="B122" s="9">
        <v>81</v>
      </c>
      <c r="C122" s="9">
        <v>133472625</v>
      </c>
      <c r="D122" s="9" t="s">
        <v>363</v>
      </c>
      <c r="E122" s="9" t="s">
        <v>8</v>
      </c>
    </row>
    <row r="123" spans="1:5" ht="16" customHeight="1" thickBot="1" x14ac:dyDescent="0.4">
      <c r="A123" s="8" t="s">
        <v>362</v>
      </c>
      <c r="B123" s="8">
        <v>88</v>
      </c>
      <c r="C123" s="8">
        <v>133450609</v>
      </c>
      <c r="D123" s="8" t="s">
        <v>95</v>
      </c>
      <c r="E123" s="8" t="s">
        <v>8</v>
      </c>
    </row>
    <row r="124" spans="1:5" ht="16" customHeight="1" thickBot="1" x14ac:dyDescent="0.4">
      <c r="A124" s="8" t="s">
        <v>362</v>
      </c>
      <c r="B124" s="9">
        <v>95</v>
      </c>
      <c r="C124" s="9">
        <v>133540743</v>
      </c>
      <c r="D124" s="9" t="s">
        <v>102</v>
      </c>
      <c r="E124" s="9" t="s">
        <v>328</v>
      </c>
    </row>
    <row r="125" spans="1:5" ht="16" customHeight="1" thickBot="1" x14ac:dyDescent="0.4">
      <c r="A125" s="8" t="s">
        <v>362</v>
      </c>
      <c r="B125" s="8">
        <v>102</v>
      </c>
      <c r="C125" s="8">
        <v>133472611</v>
      </c>
      <c r="D125" s="8" t="s">
        <v>109</v>
      </c>
      <c r="E125" s="8" t="s">
        <v>8</v>
      </c>
    </row>
    <row r="126" spans="1:5" ht="16" customHeight="1" thickBot="1" x14ac:dyDescent="0.4">
      <c r="A126" s="8" t="s">
        <v>362</v>
      </c>
      <c r="B126" s="9">
        <v>109</v>
      </c>
      <c r="C126" s="9">
        <v>133499131</v>
      </c>
      <c r="D126" s="9" t="s">
        <v>116</v>
      </c>
      <c r="E126" s="9" t="s">
        <v>8</v>
      </c>
    </row>
    <row r="127" spans="1:5" ht="16" customHeight="1" thickBot="1" x14ac:dyDescent="0.4">
      <c r="A127" s="8" t="s">
        <v>362</v>
      </c>
      <c r="B127" s="8">
        <v>116</v>
      </c>
      <c r="C127" s="8">
        <v>133547539</v>
      </c>
      <c r="D127" s="8" t="s">
        <v>123</v>
      </c>
      <c r="E127" s="8" t="s">
        <v>8</v>
      </c>
    </row>
    <row r="128" spans="1:5" ht="16" customHeight="1" thickBot="1" x14ac:dyDescent="0.4">
      <c r="A128" s="8" t="s">
        <v>362</v>
      </c>
      <c r="B128" s="9">
        <v>123</v>
      </c>
      <c r="C128" s="9">
        <v>133540027</v>
      </c>
      <c r="D128" s="9" t="s">
        <v>130</v>
      </c>
      <c r="E128" s="9" t="s">
        <v>328</v>
      </c>
    </row>
    <row r="129" spans="1:5" ht="16" customHeight="1" thickBot="1" x14ac:dyDescent="0.4">
      <c r="A129" s="8" t="s">
        <v>362</v>
      </c>
      <c r="B129" s="8">
        <v>130</v>
      </c>
      <c r="C129" s="8">
        <v>133516869</v>
      </c>
      <c r="D129" s="8" t="s">
        <v>137</v>
      </c>
      <c r="E129" s="8" t="s">
        <v>328</v>
      </c>
    </row>
    <row r="130" spans="1:5" ht="16" customHeight="1" thickBot="1" x14ac:dyDescent="0.4">
      <c r="A130" s="8" t="s">
        <v>362</v>
      </c>
      <c r="B130" s="9">
        <v>137</v>
      </c>
      <c r="C130" s="9">
        <v>133478833</v>
      </c>
      <c r="D130" s="9" t="s">
        <v>144</v>
      </c>
      <c r="E130" s="9" t="s">
        <v>8</v>
      </c>
    </row>
    <row r="131" spans="1:5" ht="16" customHeight="1" thickBot="1" x14ac:dyDescent="0.4">
      <c r="A131" s="8" t="s">
        <v>362</v>
      </c>
      <c r="B131" s="8">
        <v>144</v>
      </c>
      <c r="C131" s="8">
        <v>133538469</v>
      </c>
      <c r="D131" s="8" t="s">
        <v>151</v>
      </c>
      <c r="E131" s="8" t="s">
        <v>328</v>
      </c>
    </row>
    <row r="132" spans="1:5" ht="16" customHeight="1" thickBot="1" x14ac:dyDescent="0.4">
      <c r="A132" s="8" t="s">
        <v>362</v>
      </c>
      <c r="B132" s="9">
        <v>151</v>
      </c>
      <c r="C132" s="9">
        <v>133527315</v>
      </c>
      <c r="D132" s="9" t="s">
        <v>158</v>
      </c>
      <c r="E132" s="9" t="s">
        <v>328</v>
      </c>
    </row>
    <row r="133" spans="1:5" ht="16" customHeight="1" thickBot="1" x14ac:dyDescent="0.4">
      <c r="A133" s="8" t="s">
        <v>362</v>
      </c>
      <c r="B133" s="8">
        <v>158</v>
      </c>
      <c r="C133" s="8">
        <v>133457299</v>
      </c>
      <c r="D133" s="8" t="s">
        <v>165</v>
      </c>
      <c r="E133" s="8" t="s">
        <v>8</v>
      </c>
    </row>
    <row r="134" spans="1:5" ht="16" customHeight="1" thickBot="1" x14ac:dyDescent="0.4">
      <c r="A134" s="8" t="s">
        <v>362</v>
      </c>
      <c r="B134" s="9">
        <v>165</v>
      </c>
      <c r="C134" s="9">
        <v>133527761</v>
      </c>
      <c r="D134" s="9" t="s">
        <v>172</v>
      </c>
      <c r="E134" s="9" t="s">
        <v>328</v>
      </c>
    </row>
    <row r="135" spans="1:5" ht="16" customHeight="1" thickBot="1" x14ac:dyDescent="0.4">
      <c r="A135" s="8" t="s">
        <v>362</v>
      </c>
      <c r="B135" s="8">
        <v>172</v>
      </c>
      <c r="C135" s="8">
        <v>133452495</v>
      </c>
      <c r="D135" s="8" t="s">
        <v>179</v>
      </c>
      <c r="E135" s="8" t="s">
        <v>8</v>
      </c>
    </row>
    <row r="136" spans="1:5" ht="16" customHeight="1" thickBot="1" x14ac:dyDescent="0.4">
      <c r="A136" s="8" t="s">
        <v>362</v>
      </c>
      <c r="B136" s="9">
        <v>179</v>
      </c>
      <c r="C136" s="9">
        <v>133519125</v>
      </c>
      <c r="D136" s="9" t="s">
        <v>186</v>
      </c>
      <c r="E136" s="9" t="s">
        <v>8</v>
      </c>
    </row>
    <row r="137" spans="1:5" ht="16" customHeight="1" thickBot="1" x14ac:dyDescent="0.4">
      <c r="A137" s="8" t="s">
        <v>362</v>
      </c>
      <c r="B137" s="8">
        <v>186</v>
      </c>
      <c r="C137" s="8">
        <v>132810645</v>
      </c>
      <c r="D137" s="8" t="s">
        <v>192</v>
      </c>
      <c r="E137" s="8" t="s">
        <v>8</v>
      </c>
    </row>
    <row r="138" spans="1:5" ht="16" customHeight="1" thickBot="1" x14ac:dyDescent="0.4">
      <c r="A138" s="8" t="s">
        <v>362</v>
      </c>
      <c r="B138" s="9">
        <v>193</v>
      </c>
      <c r="C138" s="9">
        <v>133580299</v>
      </c>
      <c r="D138" s="9" t="s">
        <v>195</v>
      </c>
      <c r="E138" s="9" t="s">
        <v>328</v>
      </c>
    </row>
    <row r="139" spans="1:5" ht="16" customHeight="1" thickBot="1" x14ac:dyDescent="0.4">
      <c r="A139" s="8" t="s">
        <v>362</v>
      </c>
      <c r="B139" s="8">
        <v>200</v>
      </c>
      <c r="C139" s="8">
        <v>133630997</v>
      </c>
      <c r="D139" s="8" t="s">
        <v>202</v>
      </c>
      <c r="E139" s="8" t="s">
        <v>328</v>
      </c>
    </row>
    <row r="140" spans="1:5" ht="16" customHeight="1" thickBot="1" x14ac:dyDescent="0.4">
      <c r="A140" s="8" t="s">
        <v>362</v>
      </c>
      <c r="B140" s="9">
        <v>207</v>
      </c>
      <c r="C140" s="9">
        <v>133583849</v>
      </c>
      <c r="D140" s="9" t="s">
        <v>209</v>
      </c>
      <c r="E140" s="9" t="s">
        <v>8</v>
      </c>
    </row>
    <row r="141" spans="1:5" ht="16" customHeight="1" thickBot="1" x14ac:dyDescent="0.4">
      <c r="A141" s="8" t="s">
        <v>362</v>
      </c>
      <c r="B141" s="8">
        <v>214</v>
      </c>
      <c r="C141" s="8">
        <v>133620453</v>
      </c>
      <c r="D141" s="8" t="s">
        <v>215</v>
      </c>
      <c r="E141" s="8" t="s">
        <v>328</v>
      </c>
    </row>
    <row r="142" spans="1:5" ht="16" customHeight="1" thickBot="1" x14ac:dyDescent="0.4">
      <c r="A142" s="8" t="s">
        <v>362</v>
      </c>
      <c r="B142" s="9">
        <v>221</v>
      </c>
      <c r="C142" s="9">
        <v>133573581</v>
      </c>
      <c r="D142" s="9" t="s">
        <v>222</v>
      </c>
      <c r="E142" s="9" t="s">
        <v>328</v>
      </c>
    </row>
    <row r="143" spans="1:5" ht="16" customHeight="1" thickBot="1" x14ac:dyDescent="0.4">
      <c r="A143" s="8" t="s">
        <v>362</v>
      </c>
      <c r="B143" s="8">
        <v>228</v>
      </c>
      <c r="C143" s="8">
        <v>133572439</v>
      </c>
      <c r="D143" s="8" t="s">
        <v>364</v>
      </c>
      <c r="E143" s="8" t="s">
        <v>328</v>
      </c>
    </row>
    <row r="144" spans="1:5" ht="16" customHeight="1" thickBot="1" x14ac:dyDescent="0.4">
      <c r="A144" s="8" t="s">
        <v>362</v>
      </c>
      <c r="B144" s="9">
        <v>235</v>
      </c>
      <c r="C144" s="9">
        <v>133585925</v>
      </c>
      <c r="D144" s="9" t="s">
        <v>235</v>
      </c>
      <c r="E144" s="9" t="s">
        <v>328</v>
      </c>
    </row>
    <row r="145" spans="1:5" ht="16" customHeight="1" thickBot="1" x14ac:dyDescent="0.4">
      <c r="A145" s="8" t="s">
        <v>362</v>
      </c>
      <c r="B145" s="8">
        <v>242</v>
      </c>
      <c r="C145" s="8">
        <v>133450597</v>
      </c>
      <c r="D145" s="8" t="s">
        <v>70</v>
      </c>
      <c r="E145" s="8" t="s">
        <v>8</v>
      </c>
    </row>
    <row r="146" spans="1:5" ht="16" customHeight="1" thickBot="1" x14ac:dyDescent="0.4">
      <c r="A146" s="8" t="s">
        <v>362</v>
      </c>
      <c r="B146" s="9">
        <v>249</v>
      </c>
      <c r="C146" s="9">
        <v>133589299</v>
      </c>
      <c r="D146" s="9" t="s">
        <v>247</v>
      </c>
      <c r="E146" s="9" t="s">
        <v>328</v>
      </c>
    </row>
    <row r="147" spans="1:5" ht="16" customHeight="1" thickBot="1" x14ac:dyDescent="0.4">
      <c r="A147" s="8" t="s">
        <v>362</v>
      </c>
      <c r="B147" s="8">
        <v>256</v>
      </c>
      <c r="C147" s="8">
        <v>133503661</v>
      </c>
      <c r="D147" s="8" t="s">
        <v>337</v>
      </c>
      <c r="E147" s="8" t="s">
        <v>8</v>
      </c>
    </row>
    <row r="148" spans="1:5" ht="16" customHeight="1" thickBot="1" x14ac:dyDescent="0.4">
      <c r="A148" s="8" t="s">
        <v>362</v>
      </c>
      <c r="B148" s="9">
        <v>263</v>
      </c>
      <c r="C148" s="9">
        <v>133579911</v>
      </c>
      <c r="D148" s="9" t="s">
        <v>260</v>
      </c>
      <c r="E148" s="9" t="s">
        <v>8</v>
      </c>
    </row>
    <row r="149" spans="1:5" ht="16" customHeight="1" thickBot="1" x14ac:dyDescent="0.4">
      <c r="A149" s="8" t="s">
        <v>362</v>
      </c>
      <c r="B149" s="8">
        <v>270</v>
      </c>
      <c r="C149" s="8">
        <v>133600523</v>
      </c>
      <c r="D149" s="8" t="s">
        <v>365</v>
      </c>
      <c r="E149" s="8" t="s">
        <v>328</v>
      </c>
    </row>
    <row r="150" spans="1:5" ht="16" customHeight="1" thickBot="1" x14ac:dyDescent="0.4">
      <c r="A150" s="8" t="s">
        <v>362</v>
      </c>
      <c r="B150" s="9">
        <v>277</v>
      </c>
      <c r="C150" s="9">
        <v>133612087</v>
      </c>
      <c r="D150" s="9" t="s">
        <v>271</v>
      </c>
      <c r="E150" s="9" t="s">
        <v>8</v>
      </c>
    </row>
    <row r="151" spans="1:5" ht="16" customHeight="1" thickBot="1" x14ac:dyDescent="0.4">
      <c r="A151" s="9" t="s">
        <v>366</v>
      </c>
      <c r="B151" s="9">
        <v>79</v>
      </c>
      <c r="C151" s="9">
        <v>133546307</v>
      </c>
      <c r="D151" s="9" t="s">
        <v>367</v>
      </c>
      <c r="E151" s="9" t="s">
        <v>8</v>
      </c>
    </row>
    <row r="152" spans="1:5" ht="16" customHeight="1" thickBot="1" x14ac:dyDescent="0.4">
      <c r="A152" s="9" t="s">
        <v>366</v>
      </c>
      <c r="B152" s="8">
        <v>86</v>
      </c>
      <c r="C152" s="8">
        <v>133508701</v>
      </c>
      <c r="D152" s="8" t="s">
        <v>93</v>
      </c>
      <c r="E152" s="8" t="s">
        <v>8</v>
      </c>
    </row>
    <row r="153" spans="1:5" ht="16" customHeight="1" thickBot="1" x14ac:dyDescent="0.4">
      <c r="A153" s="9" t="s">
        <v>366</v>
      </c>
      <c r="B153" s="9">
        <v>93</v>
      </c>
      <c r="C153" s="9">
        <v>133473869</v>
      </c>
      <c r="D153" s="9" t="s">
        <v>100</v>
      </c>
      <c r="E153" s="9" t="s">
        <v>8</v>
      </c>
    </row>
    <row r="154" spans="1:5" ht="16" customHeight="1" thickBot="1" x14ac:dyDescent="0.4">
      <c r="A154" s="9" t="s">
        <v>366</v>
      </c>
      <c r="B154" s="8">
        <v>100</v>
      </c>
      <c r="C154" s="8">
        <v>133531653</v>
      </c>
      <c r="D154" s="8" t="s">
        <v>368</v>
      </c>
      <c r="E154" s="8" t="s">
        <v>8</v>
      </c>
    </row>
    <row r="155" spans="1:5" ht="16" customHeight="1" thickBot="1" x14ac:dyDescent="0.4">
      <c r="A155" s="9" t="s">
        <v>366</v>
      </c>
      <c r="B155" s="9">
        <v>107</v>
      </c>
      <c r="C155" s="9">
        <v>133502733</v>
      </c>
      <c r="D155" s="9" t="s">
        <v>114</v>
      </c>
      <c r="E155" s="9" t="s">
        <v>8</v>
      </c>
    </row>
    <row r="156" spans="1:5" ht="16" customHeight="1" thickBot="1" x14ac:dyDescent="0.4">
      <c r="A156" s="9" t="s">
        <v>366</v>
      </c>
      <c r="B156" s="8">
        <v>114</v>
      </c>
      <c r="C156" s="8">
        <v>133526689</v>
      </c>
      <c r="D156" s="8" t="s">
        <v>369</v>
      </c>
      <c r="E156" s="8" t="s">
        <v>8</v>
      </c>
    </row>
    <row r="157" spans="1:5" ht="16" customHeight="1" thickBot="1" x14ac:dyDescent="0.4">
      <c r="A157" s="9" t="s">
        <v>366</v>
      </c>
      <c r="B157" s="9">
        <v>121</v>
      </c>
      <c r="C157" s="9">
        <v>133480579</v>
      </c>
      <c r="D157" s="9" t="s">
        <v>370</v>
      </c>
      <c r="E157" s="9" t="s">
        <v>8</v>
      </c>
    </row>
    <row r="158" spans="1:5" ht="16" customHeight="1" thickBot="1" x14ac:dyDescent="0.4">
      <c r="A158" s="9" t="s">
        <v>366</v>
      </c>
      <c r="B158" s="8">
        <v>128</v>
      </c>
      <c r="C158" s="8">
        <v>133505221</v>
      </c>
      <c r="D158" s="8" t="s">
        <v>135</v>
      </c>
      <c r="E158" s="8" t="s">
        <v>8</v>
      </c>
    </row>
    <row r="159" spans="1:5" ht="16" customHeight="1" thickBot="1" x14ac:dyDescent="0.4">
      <c r="A159" s="9" t="s">
        <v>366</v>
      </c>
      <c r="B159" s="9">
        <v>135</v>
      </c>
      <c r="C159" s="9">
        <v>133459499</v>
      </c>
      <c r="D159" s="9" t="s">
        <v>142</v>
      </c>
      <c r="E159" s="9" t="s">
        <v>8</v>
      </c>
    </row>
    <row r="160" spans="1:5" ht="16" customHeight="1" thickBot="1" x14ac:dyDescent="0.4">
      <c r="A160" s="9" t="s">
        <v>366</v>
      </c>
      <c r="B160" s="8">
        <v>142</v>
      </c>
      <c r="C160" s="8">
        <v>133496619</v>
      </c>
      <c r="D160" s="8" t="s">
        <v>149</v>
      </c>
      <c r="E160" s="8" t="s">
        <v>8</v>
      </c>
    </row>
    <row r="161" spans="1:5" ht="16" customHeight="1" thickBot="1" x14ac:dyDescent="0.4">
      <c r="A161" s="9" t="s">
        <v>366</v>
      </c>
      <c r="B161" s="9">
        <v>149</v>
      </c>
      <c r="C161" s="9">
        <v>133549537</v>
      </c>
      <c r="D161" s="9" t="s">
        <v>371</v>
      </c>
      <c r="E161" s="9" t="s">
        <v>8</v>
      </c>
    </row>
    <row r="162" spans="1:5" ht="16" customHeight="1" thickBot="1" x14ac:dyDescent="0.4">
      <c r="A162" s="9" t="s">
        <v>366</v>
      </c>
      <c r="B162" s="8">
        <v>156</v>
      </c>
      <c r="C162" s="8">
        <v>133502175</v>
      </c>
      <c r="D162" s="8" t="s">
        <v>163</v>
      </c>
      <c r="E162" s="8" t="s">
        <v>8</v>
      </c>
    </row>
    <row r="163" spans="1:5" ht="16" customHeight="1" thickBot="1" x14ac:dyDescent="0.4">
      <c r="A163" s="9" t="s">
        <v>366</v>
      </c>
      <c r="B163" s="9">
        <v>163</v>
      </c>
      <c r="C163" s="9">
        <v>133520063</v>
      </c>
      <c r="D163" s="9" t="s">
        <v>170</v>
      </c>
      <c r="E163" s="9" t="s">
        <v>8</v>
      </c>
    </row>
    <row r="164" spans="1:5" ht="16" customHeight="1" thickBot="1" x14ac:dyDescent="0.4">
      <c r="A164" s="9" t="s">
        <v>366</v>
      </c>
      <c r="B164" s="8">
        <v>170</v>
      </c>
      <c r="C164" s="8">
        <v>133506731</v>
      </c>
      <c r="D164" s="8" t="s">
        <v>177</v>
      </c>
      <c r="E164" s="8" t="s">
        <v>8</v>
      </c>
    </row>
    <row r="165" spans="1:5" ht="16" customHeight="1" thickBot="1" x14ac:dyDescent="0.4">
      <c r="A165" s="9" t="s">
        <v>366</v>
      </c>
      <c r="B165" s="9">
        <v>177</v>
      </c>
      <c r="C165" s="9">
        <v>133512005</v>
      </c>
      <c r="D165" s="9" t="s">
        <v>184</v>
      </c>
      <c r="E165" s="9" t="s">
        <v>8</v>
      </c>
    </row>
    <row r="166" spans="1:5" ht="16" customHeight="1" thickBot="1" x14ac:dyDescent="0.4">
      <c r="A166" s="9" t="s">
        <v>366</v>
      </c>
      <c r="B166" s="8">
        <v>184</v>
      </c>
      <c r="C166" s="8">
        <v>133460433</v>
      </c>
      <c r="D166" s="8" t="s">
        <v>361</v>
      </c>
      <c r="E166" s="8" t="s">
        <v>8</v>
      </c>
    </row>
    <row r="167" spans="1:5" ht="16" customHeight="1" thickBot="1" x14ac:dyDescent="0.4">
      <c r="A167" s="9" t="s">
        <v>366</v>
      </c>
      <c r="B167" s="9">
        <v>191</v>
      </c>
      <c r="C167" s="9">
        <v>133204541</v>
      </c>
      <c r="D167" s="10" t="s">
        <v>194</v>
      </c>
      <c r="E167" s="9" t="s">
        <v>8</v>
      </c>
    </row>
    <row r="168" spans="1:5" ht="16" customHeight="1" thickBot="1" x14ac:dyDescent="0.4">
      <c r="A168" s="9" t="s">
        <v>366</v>
      </c>
      <c r="B168" s="8">
        <v>198</v>
      </c>
      <c r="C168" s="8">
        <v>133484883</v>
      </c>
      <c r="D168" s="8" t="s">
        <v>200</v>
      </c>
      <c r="E168" s="8" t="s">
        <v>8</v>
      </c>
    </row>
    <row r="169" spans="1:5" ht="16" customHeight="1" thickBot="1" x14ac:dyDescent="0.4">
      <c r="A169" s="9" t="s">
        <v>366</v>
      </c>
      <c r="B169" s="9">
        <v>205</v>
      </c>
      <c r="C169" s="9">
        <v>133581193</v>
      </c>
      <c r="D169" s="9" t="s">
        <v>207</v>
      </c>
      <c r="E169" s="9" t="s">
        <v>8</v>
      </c>
    </row>
    <row r="170" spans="1:5" ht="16" customHeight="1" thickBot="1" x14ac:dyDescent="0.4">
      <c r="A170" s="9" t="s">
        <v>366</v>
      </c>
      <c r="B170" s="8">
        <v>212</v>
      </c>
      <c r="C170" s="8">
        <v>133566741</v>
      </c>
      <c r="D170" s="8" t="s">
        <v>372</v>
      </c>
      <c r="E170" s="8" t="s">
        <v>328</v>
      </c>
    </row>
    <row r="171" spans="1:5" ht="16" customHeight="1" thickBot="1" x14ac:dyDescent="0.4">
      <c r="A171" s="9" t="s">
        <v>366</v>
      </c>
      <c r="B171" s="9">
        <v>219</v>
      </c>
      <c r="C171" s="9">
        <v>133605493</v>
      </c>
      <c r="D171" s="9" t="s">
        <v>220</v>
      </c>
      <c r="E171" s="9" t="s">
        <v>8</v>
      </c>
    </row>
    <row r="172" spans="1:5" ht="16" customHeight="1" thickBot="1" x14ac:dyDescent="0.4">
      <c r="A172" s="9" t="s">
        <v>366</v>
      </c>
      <c r="B172" s="8">
        <v>226</v>
      </c>
      <c r="C172" s="8">
        <v>133462817</v>
      </c>
      <c r="D172" s="8" t="s">
        <v>129</v>
      </c>
      <c r="E172" s="8" t="s">
        <v>8</v>
      </c>
    </row>
    <row r="173" spans="1:5" ht="16" customHeight="1" thickBot="1" x14ac:dyDescent="0.4">
      <c r="A173" s="9" t="s">
        <v>366</v>
      </c>
      <c r="B173" s="9">
        <v>233</v>
      </c>
      <c r="C173" s="9">
        <v>133592227</v>
      </c>
      <c r="D173" s="9" t="s">
        <v>233</v>
      </c>
      <c r="E173" s="9" t="s">
        <v>8</v>
      </c>
    </row>
    <row r="174" spans="1:5" ht="16" customHeight="1" thickBot="1" x14ac:dyDescent="0.4">
      <c r="A174" s="9" t="s">
        <v>366</v>
      </c>
      <c r="B174" s="8">
        <v>240</v>
      </c>
      <c r="C174" s="8">
        <v>133631737</v>
      </c>
      <c r="D174" s="8" t="s">
        <v>373</v>
      </c>
      <c r="E174" s="8" t="s">
        <v>8</v>
      </c>
    </row>
    <row r="175" spans="1:5" ht="16" customHeight="1" thickBot="1" x14ac:dyDescent="0.4">
      <c r="A175" s="9" t="s">
        <v>366</v>
      </c>
      <c r="B175" s="9">
        <v>247</v>
      </c>
      <c r="C175" s="9">
        <v>133587703</v>
      </c>
      <c r="D175" s="9" t="s">
        <v>245</v>
      </c>
      <c r="E175" s="9" t="s">
        <v>8</v>
      </c>
    </row>
    <row r="176" spans="1:5" ht="16" customHeight="1" thickBot="1" x14ac:dyDescent="0.4">
      <c r="A176" s="9" t="s">
        <v>366</v>
      </c>
      <c r="B176" s="8">
        <v>254</v>
      </c>
      <c r="C176" s="8">
        <v>133587001</v>
      </c>
      <c r="D176" s="8" t="s">
        <v>252</v>
      </c>
      <c r="E176" s="8" t="s">
        <v>8</v>
      </c>
    </row>
    <row r="177" spans="1:5" ht="16" customHeight="1" thickBot="1" x14ac:dyDescent="0.4">
      <c r="A177" s="9" t="s">
        <v>366</v>
      </c>
      <c r="B177" s="9">
        <v>261</v>
      </c>
      <c r="C177" s="9">
        <v>133577395</v>
      </c>
      <c r="D177" s="9" t="s">
        <v>258</v>
      </c>
      <c r="E177" s="9" t="s">
        <v>8</v>
      </c>
    </row>
    <row r="178" spans="1:5" ht="16" customHeight="1" thickBot="1" x14ac:dyDescent="0.4">
      <c r="A178" s="9" t="s">
        <v>366</v>
      </c>
      <c r="B178" s="8">
        <v>268</v>
      </c>
      <c r="C178" s="8">
        <v>133589943</v>
      </c>
      <c r="D178" s="8" t="s">
        <v>263</v>
      </c>
      <c r="E178" s="8" t="s">
        <v>8</v>
      </c>
    </row>
    <row r="179" spans="1:5" ht="16" customHeight="1" thickBot="1" x14ac:dyDescent="0.4">
      <c r="A179" s="9" t="s">
        <v>366</v>
      </c>
      <c r="B179" s="9">
        <v>275</v>
      </c>
      <c r="C179" s="9">
        <v>133596025</v>
      </c>
      <c r="D179" s="9" t="s">
        <v>269</v>
      </c>
      <c r="E179" s="9" t="s">
        <v>8</v>
      </c>
    </row>
    <row r="180" spans="1:5" ht="16" customHeight="1" thickBot="1" x14ac:dyDescent="0.4">
      <c r="A180" s="9" t="s">
        <v>366</v>
      </c>
      <c r="B180" s="8">
        <v>282</v>
      </c>
      <c r="C180" s="8">
        <v>133603209</v>
      </c>
      <c r="D180" s="8" t="s">
        <v>276</v>
      </c>
      <c r="E180" s="8" t="s">
        <v>328</v>
      </c>
    </row>
    <row r="181" spans="1:5" ht="16" customHeight="1" thickBot="1" x14ac:dyDescent="0.4">
      <c r="A181" s="9" t="s">
        <v>374</v>
      </c>
      <c r="B181" s="9">
        <v>77</v>
      </c>
      <c r="C181" s="9">
        <v>133504787</v>
      </c>
      <c r="D181" s="9" t="s">
        <v>84</v>
      </c>
      <c r="E181" s="9" t="s">
        <v>8</v>
      </c>
    </row>
    <row r="182" spans="1:5" ht="16" customHeight="1" thickBot="1" x14ac:dyDescent="0.4">
      <c r="A182" s="9" t="s">
        <v>374</v>
      </c>
      <c r="B182" s="8">
        <v>84</v>
      </c>
      <c r="C182" s="8">
        <v>133538675</v>
      </c>
      <c r="D182" s="8" t="s">
        <v>91</v>
      </c>
      <c r="E182" s="8" t="s">
        <v>8</v>
      </c>
    </row>
    <row r="183" spans="1:5" ht="16" customHeight="1" thickBot="1" x14ac:dyDescent="0.4">
      <c r="A183" s="9" t="s">
        <v>374</v>
      </c>
      <c r="B183" s="9">
        <v>91</v>
      </c>
      <c r="C183" s="9">
        <v>133478767</v>
      </c>
      <c r="D183" s="9" t="s">
        <v>98</v>
      </c>
      <c r="E183" s="9" t="s">
        <v>8</v>
      </c>
    </row>
    <row r="184" spans="1:5" ht="16" customHeight="1" thickBot="1" x14ac:dyDescent="0.4">
      <c r="A184" s="9" t="s">
        <v>374</v>
      </c>
      <c r="B184" s="8">
        <v>98</v>
      </c>
      <c r="C184" s="8">
        <v>133471635</v>
      </c>
      <c r="D184" s="8" t="s">
        <v>375</v>
      </c>
      <c r="E184" s="8" t="s">
        <v>8</v>
      </c>
    </row>
    <row r="185" spans="1:5" ht="16" customHeight="1" thickBot="1" x14ac:dyDescent="0.4">
      <c r="A185" s="9" t="s">
        <v>374</v>
      </c>
      <c r="B185" s="9">
        <v>105</v>
      </c>
      <c r="C185" s="9">
        <v>133453989</v>
      </c>
      <c r="D185" s="9" t="s">
        <v>376</v>
      </c>
      <c r="E185" s="9" t="s">
        <v>8</v>
      </c>
    </row>
    <row r="186" spans="1:5" ht="16" customHeight="1" thickBot="1" x14ac:dyDescent="0.4">
      <c r="A186" s="9" t="s">
        <v>374</v>
      </c>
      <c r="B186" s="8">
        <v>112</v>
      </c>
      <c r="C186" s="8">
        <v>133548013</v>
      </c>
      <c r="D186" s="8" t="s">
        <v>377</v>
      </c>
      <c r="E186" s="8" t="s">
        <v>8</v>
      </c>
    </row>
    <row r="187" spans="1:5" ht="16" customHeight="1" thickBot="1" x14ac:dyDescent="0.4">
      <c r="A187" s="9" t="s">
        <v>374</v>
      </c>
      <c r="B187" s="9">
        <v>119</v>
      </c>
      <c r="C187" s="9">
        <v>133475577</v>
      </c>
      <c r="D187" s="9" t="s">
        <v>126</v>
      </c>
      <c r="E187" s="9" t="s">
        <v>328</v>
      </c>
    </row>
    <row r="188" spans="1:5" ht="16" customHeight="1" thickBot="1" x14ac:dyDescent="0.4">
      <c r="A188" s="9" t="s">
        <v>374</v>
      </c>
      <c r="B188" s="8">
        <v>126</v>
      </c>
      <c r="C188" s="8">
        <v>133465315</v>
      </c>
      <c r="D188" s="8" t="s">
        <v>133</v>
      </c>
      <c r="E188" s="8" t="s">
        <v>8</v>
      </c>
    </row>
    <row r="189" spans="1:5" ht="16" customHeight="1" thickBot="1" x14ac:dyDescent="0.4">
      <c r="A189" s="9" t="s">
        <v>374</v>
      </c>
      <c r="B189" s="9">
        <v>133</v>
      </c>
      <c r="C189" s="9">
        <v>133452059</v>
      </c>
      <c r="D189" s="9" t="s">
        <v>140</v>
      </c>
      <c r="E189" s="9" t="s">
        <v>328</v>
      </c>
    </row>
    <row r="190" spans="1:5" ht="16" customHeight="1" thickBot="1" x14ac:dyDescent="0.4">
      <c r="A190" s="9" t="s">
        <v>374</v>
      </c>
      <c r="B190" s="8">
        <v>140</v>
      </c>
      <c r="C190" s="8">
        <v>133539449</v>
      </c>
      <c r="D190" s="8" t="s">
        <v>147</v>
      </c>
      <c r="E190" s="8" t="s">
        <v>8</v>
      </c>
    </row>
    <row r="191" spans="1:5" ht="16" customHeight="1" thickBot="1" x14ac:dyDescent="0.4">
      <c r="A191" s="9" t="s">
        <v>374</v>
      </c>
      <c r="B191" s="9">
        <v>147</v>
      </c>
      <c r="C191" s="9">
        <v>133529033</v>
      </c>
      <c r="D191" s="9" t="s">
        <v>154</v>
      </c>
      <c r="E191" s="9" t="s">
        <v>8</v>
      </c>
    </row>
    <row r="192" spans="1:5" ht="16" customHeight="1" thickBot="1" x14ac:dyDescent="0.4">
      <c r="A192" s="9" t="s">
        <v>374</v>
      </c>
      <c r="B192" s="8">
        <v>154</v>
      </c>
      <c r="C192" s="8">
        <v>133462905</v>
      </c>
      <c r="D192" s="8" t="s">
        <v>161</v>
      </c>
      <c r="E192" s="8" t="s">
        <v>8</v>
      </c>
    </row>
    <row r="193" spans="1:5" ht="16" customHeight="1" thickBot="1" x14ac:dyDescent="0.4">
      <c r="A193" s="9" t="s">
        <v>374</v>
      </c>
      <c r="B193" s="9">
        <v>161</v>
      </c>
      <c r="C193" s="9">
        <v>133489069</v>
      </c>
      <c r="D193" s="9" t="s">
        <v>168</v>
      </c>
      <c r="E193" s="9" t="s">
        <v>8</v>
      </c>
    </row>
    <row r="194" spans="1:5" ht="16" customHeight="1" thickBot="1" x14ac:dyDescent="0.4">
      <c r="A194" s="9" t="s">
        <v>374</v>
      </c>
      <c r="B194" s="8">
        <v>168</v>
      </c>
      <c r="C194" s="8">
        <v>133499881</v>
      </c>
      <c r="D194" s="8" t="s">
        <v>175</v>
      </c>
      <c r="E194" s="8" t="s">
        <v>8</v>
      </c>
    </row>
    <row r="195" spans="1:5" ht="16" customHeight="1" thickBot="1" x14ac:dyDescent="0.4">
      <c r="A195" s="9" t="s">
        <v>374</v>
      </c>
      <c r="B195" s="9">
        <v>175</v>
      </c>
      <c r="C195" s="9">
        <v>133506547</v>
      </c>
      <c r="D195" s="9" t="s">
        <v>182</v>
      </c>
      <c r="E195" s="9" t="s">
        <v>8</v>
      </c>
    </row>
    <row r="196" spans="1:5" ht="16" customHeight="1" thickBot="1" x14ac:dyDescent="0.4">
      <c r="A196" s="9" t="s">
        <v>374</v>
      </c>
      <c r="B196" s="8">
        <v>182</v>
      </c>
      <c r="C196" s="8">
        <v>133548015</v>
      </c>
      <c r="D196" s="8" t="s">
        <v>189</v>
      </c>
      <c r="E196" s="8" t="s">
        <v>328</v>
      </c>
    </row>
    <row r="197" spans="1:5" ht="16" customHeight="1" thickBot="1" x14ac:dyDescent="0.4">
      <c r="A197" s="9" t="s">
        <v>374</v>
      </c>
      <c r="B197" s="9">
        <v>189</v>
      </c>
      <c r="C197" s="9">
        <v>133379737</v>
      </c>
      <c r="D197" s="9" t="s">
        <v>192</v>
      </c>
      <c r="E197" s="9" t="s">
        <v>8</v>
      </c>
    </row>
    <row r="198" spans="1:5" ht="16" customHeight="1" thickBot="1" x14ac:dyDescent="0.4">
      <c r="A198" s="9" t="s">
        <v>374</v>
      </c>
      <c r="B198" s="8">
        <v>196</v>
      </c>
      <c r="C198" s="8">
        <v>133594671</v>
      </c>
      <c r="D198" s="8" t="s">
        <v>198</v>
      </c>
      <c r="E198" s="8" t="s">
        <v>8</v>
      </c>
    </row>
    <row r="199" spans="1:5" ht="16" customHeight="1" thickBot="1" x14ac:dyDescent="0.4">
      <c r="A199" s="9" t="s">
        <v>374</v>
      </c>
      <c r="B199" s="9">
        <v>203</v>
      </c>
      <c r="C199" s="9">
        <v>133570345</v>
      </c>
      <c r="D199" s="9" t="s">
        <v>205</v>
      </c>
      <c r="E199" s="9" t="s">
        <v>8</v>
      </c>
    </row>
    <row r="200" spans="1:5" ht="16" customHeight="1" thickBot="1" x14ac:dyDescent="0.4">
      <c r="A200" s="9" t="s">
        <v>374</v>
      </c>
      <c r="B200" s="8">
        <v>210</v>
      </c>
      <c r="C200" s="8">
        <v>133575781</v>
      </c>
      <c r="D200" s="8" t="s">
        <v>211</v>
      </c>
      <c r="E200" s="8" t="s">
        <v>328</v>
      </c>
    </row>
    <row r="201" spans="1:5" ht="16" customHeight="1" thickBot="1" x14ac:dyDescent="0.4">
      <c r="A201" s="9" t="s">
        <v>374</v>
      </c>
      <c r="B201" s="9">
        <v>217</v>
      </c>
      <c r="C201" s="9">
        <v>133611017</v>
      </c>
      <c r="D201" s="9" t="s">
        <v>378</v>
      </c>
      <c r="E201" s="9" t="s">
        <v>328</v>
      </c>
    </row>
    <row r="202" spans="1:5" ht="16" customHeight="1" thickBot="1" x14ac:dyDescent="0.4">
      <c r="A202" s="9" t="s">
        <v>374</v>
      </c>
      <c r="B202" s="8">
        <v>224</v>
      </c>
      <c r="C202" s="8">
        <v>133618699</v>
      </c>
      <c r="D202" s="8" t="s">
        <v>225</v>
      </c>
      <c r="E202" s="8" t="s">
        <v>328</v>
      </c>
    </row>
    <row r="203" spans="1:5" ht="16" customHeight="1" thickBot="1" x14ac:dyDescent="0.4">
      <c r="A203" s="9" t="s">
        <v>374</v>
      </c>
      <c r="B203" s="9">
        <v>231</v>
      </c>
      <c r="C203" s="9">
        <v>133596245</v>
      </c>
      <c r="D203" s="9" t="s">
        <v>231</v>
      </c>
      <c r="E203" s="9" t="s">
        <v>328</v>
      </c>
    </row>
    <row r="204" spans="1:5" ht="16" customHeight="1" thickBot="1" x14ac:dyDescent="0.4">
      <c r="A204" s="9" t="s">
        <v>374</v>
      </c>
      <c r="B204" s="8">
        <v>238</v>
      </c>
      <c r="C204" s="8">
        <v>133627805</v>
      </c>
      <c r="D204" s="8" t="s">
        <v>238</v>
      </c>
      <c r="E204" s="8" t="s">
        <v>8</v>
      </c>
    </row>
    <row r="205" spans="1:5" ht="16" customHeight="1" thickBot="1" x14ac:dyDescent="0.4">
      <c r="A205" s="9" t="s">
        <v>374</v>
      </c>
      <c r="B205" s="9">
        <v>245</v>
      </c>
      <c r="C205" s="9">
        <v>133583819</v>
      </c>
      <c r="D205" s="9" t="s">
        <v>243</v>
      </c>
      <c r="E205" s="9" t="s">
        <v>328</v>
      </c>
    </row>
    <row r="206" spans="1:5" ht="16" customHeight="1" thickBot="1" x14ac:dyDescent="0.4">
      <c r="A206" s="9" t="s">
        <v>374</v>
      </c>
      <c r="B206" s="8">
        <v>252</v>
      </c>
      <c r="C206" s="8">
        <v>133600431</v>
      </c>
      <c r="D206" s="8" t="s">
        <v>250</v>
      </c>
      <c r="E206" s="8" t="s">
        <v>8</v>
      </c>
    </row>
    <row r="207" spans="1:5" ht="16" customHeight="1" thickBot="1" x14ac:dyDescent="0.4">
      <c r="A207" s="9" t="s">
        <v>374</v>
      </c>
      <c r="B207" s="9">
        <v>259</v>
      </c>
      <c r="C207" s="9">
        <v>133569941</v>
      </c>
      <c r="D207" s="9" t="s">
        <v>256</v>
      </c>
      <c r="E207" s="9" t="s">
        <v>328</v>
      </c>
    </row>
    <row r="208" spans="1:5" ht="16" customHeight="1" thickBot="1" x14ac:dyDescent="0.4">
      <c r="A208" s="9" t="s">
        <v>374</v>
      </c>
      <c r="B208" s="8">
        <v>266</v>
      </c>
      <c r="C208" s="8">
        <v>133489069</v>
      </c>
      <c r="D208" s="8" t="s">
        <v>168</v>
      </c>
      <c r="E208" s="8" t="s">
        <v>8</v>
      </c>
    </row>
    <row r="209" spans="1:5" ht="16" customHeight="1" thickBot="1" x14ac:dyDescent="0.4">
      <c r="A209" s="9" t="s">
        <v>374</v>
      </c>
      <c r="B209" s="9">
        <v>273</v>
      </c>
      <c r="C209" s="9">
        <v>133599555</v>
      </c>
      <c r="D209" s="9" t="s">
        <v>379</v>
      </c>
      <c r="E209" s="9" t="s">
        <v>328</v>
      </c>
    </row>
    <row r="210" spans="1:5" ht="16" customHeight="1" thickBot="1" x14ac:dyDescent="0.4">
      <c r="A210" s="9" t="s">
        <v>374</v>
      </c>
      <c r="B210" s="8">
        <v>280</v>
      </c>
      <c r="C210" s="8">
        <v>133561325</v>
      </c>
      <c r="D210" s="8" t="s">
        <v>380</v>
      </c>
      <c r="E210" s="8" t="s">
        <v>8</v>
      </c>
    </row>
    <row r="211" spans="1:5" ht="15" thickBot="1" x14ac:dyDescent="0.4">
      <c r="A211" s="7"/>
      <c r="B211" s="7"/>
      <c r="C211" s="7"/>
      <c r="D211" s="7"/>
      <c r="E211" s="7"/>
    </row>
    <row r="212" spans="1:5" ht="15" thickBot="1" x14ac:dyDescent="0.4">
      <c r="A212" s="7"/>
      <c r="B212" s="7"/>
      <c r="C212" s="7"/>
      <c r="D212" s="7"/>
      <c r="E212" s="7"/>
    </row>
    <row r="213" spans="1:5" ht="15" thickBot="1" x14ac:dyDescent="0.4">
      <c r="A213" s="7"/>
      <c r="B213" s="7"/>
      <c r="C213" s="7"/>
      <c r="D213" s="7"/>
      <c r="E213" s="7"/>
    </row>
    <row r="214" spans="1:5" ht="15" thickBot="1" x14ac:dyDescent="0.4">
      <c r="A214" s="7"/>
      <c r="B214" s="7"/>
      <c r="C214" s="7"/>
      <c r="D214" s="7"/>
      <c r="E214" s="7"/>
    </row>
    <row r="215" spans="1:5" ht="15" thickBot="1" x14ac:dyDescent="0.4">
      <c r="A215" s="7"/>
      <c r="B215" s="7"/>
      <c r="C215" s="7"/>
      <c r="D215" s="7"/>
      <c r="E215" s="7"/>
    </row>
    <row r="216" spans="1:5" ht="15" thickBot="1" x14ac:dyDescent="0.4">
      <c r="A216" s="7"/>
      <c r="B216" s="7"/>
      <c r="C216" s="7"/>
      <c r="D216" s="7"/>
      <c r="E216" s="7"/>
    </row>
    <row r="217" spans="1:5" ht="15" thickBot="1" x14ac:dyDescent="0.4">
      <c r="A217" s="7"/>
      <c r="B217" s="7"/>
      <c r="C217" s="7"/>
      <c r="D217" s="7"/>
      <c r="E217" s="7"/>
    </row>
    <row r="218" spans="1:5" ht="15" thickBot="1" x14ac:dyDescent="0.4">
      <c r="A218" s="7"/>
      <c r="B218" s="7"/>
      <c r="C218" s="7"/>
      <c r="D218" s="7"/>
      <c r="E218" s="7"/>
    </row>
    <row r="219" spans="1:5" ht="15" thickBot="1" x14ac:dyDescent="0.4">
      <c r="A219" s="7"/>
      <c r="B219" s="7"/>
      <c r="C219" s="7"/>
      <c r="D219" s="7"/>
      <c r="E219" s="7"/>
    </row>
    <row r="220" spans="1:5" ht="15" thickBot="1" x14ac:dyDescent="0.4">
      <c r="A220" s="7"/>
      <c r="B220" s="7"/>
      <c r="C220" s="7"/>
      <c r="D220" s="7"/>
      <c r="E220" s="7"/>
    </row>
    <row r="221" spans="1:5" ht="15" thickBot="1" x14ac:dyDescent="0.4">
      <c r="A221" s="7"/>
      <c r="B221" s="7"/>
      <c r="C221" s="7"/>
      <c r="D221" s="7"/>
      <c r="E221" s="7"/>
    </row>
    <row r="222" spans="1:5" ht="15" thickBot="1" x14ac:dyDescent="0.4">
      <c r="A222" s="7"/>
      <c r="B222" s="7"/>
      <c r="C222" s="7"/>
      <c r="D222" s="7"/>
      <c r="E222" s="7"/>
    </row>
    <row r="223" spans="1:5" ht="15" thickBot="1" x14ac:dyDescent="0.4">
      <c r="A223" s="7"/>
      <c r="B223" s="7"/>
      <c r="C223" s="7"/>
      <c r="D223" s="7"/>
      <c r="E223" s="7"/>
    </row>
    <row r="224" spans="1:5" ht="15" thickBot="1" x14ac:dyDescent="0.4">
      <c r="A224" s="7"/>
      <c r="B224" s="7"/>
      <c r="C224" s="7"/>
      <c r="D224" s="7"/>
      <c r="E224" s="7"/>
    </row>
    <row r="225" spans="1:5" ht="15" thickBot="1" x14ac:dyDescent="0.4">
      <c r="A225" s="7"/>
      <c r="B225" s="7"/>
      <c r="C225" s="7"/>
      <c r="D225" s="7"/>
      <c r="E225" s="7"/>
    </row>
    <row r="226" spans="1:5" ht="15" thickBot="1" x14ac:dyDescent="0.4">
      <c r="A226" s="7"/>
      <c r="B226" s="7"/>
      <c r="C226" s="7"/>
      <c r="D226" s="7"/>
      <c r="E226" s="7"/>
    </row>
    <row r="227" spans="1:5" ht="15" thickBot="1" x14ac:dyDescent="0.4">
      <c r="A227" s="7"/>
      <c r="B227" s="7"/>
      <c r="C227" s="7"/>
      <c r="D227" s="7"/>
      <c r="E227" s="7"/>
    </row>
    <row r="228" spans="1:5" ht="15" thickBot="1" x14ac:dyDescent="0.4">
      <c r="A228" s="7"/>
      <c r="B228" s="7"/>
      <c r="C228" s="7"/>
      <c r="D228" s="7"/>
      <c r="E228" s="7"/>
    </row>
    <row r="229" spans="1:5" ht="15" thickBot="1" x14ac:dyDescent="0.4">
      <c r="A229" s="7"/>
      <c r="B229" s="7"/>
      <c r="C229" s="7"/>
      <c r="D229" s="7"/>
      <c r="E229" s="7"/>
    </row>
    <row r="230" spans="1:5" ht="15" thickBot="1" x14ac:dyDescent="0.4">
      <c r="A230" s="7"/>
      <c r="B230" s="7"/>
      <c r="C230" s="7"/>
      <c r="D230" s="7"/>
      <c r="E230" s="7"/>
    </row>
    <row r="231" spans="1:5" ht="15" thickBot="1" x14ac:dyDescent="0.4">
      <c r="A231" s="7"/>
      <c r="B231" s="7"/>
      <c r="C231" s="7"/>
      <c r="D231" s="7"/>
      <c r="E231" s="7"/>
    </row>
    <row r="232" spans="1:5" ht="15" thickBot="1" x14ac:dyDescent="0.4">
      <c r="A232" s="7"/>
      <c r="B232" s="7"/>
      <c r="C232" s="7"/>
      <c r="D232" s="7"/>
      <c r="E232" s="7"/>
    </row>
    <row r="233" spans="1:5" ht="15" thickBot="1" x14ac:dyDescent="0.4">
      <c r="A233" s="7"/>
      <c r="B233" s="7"/>
      <c r="C233" s="7"/>
      <c r="D233" s="7"/>
      <c r="E233" s="7"/>
    </row>
    <row r="234" spans="1:5" ht="15" thickBot="1" x14ac:dyDescent="0.4">
      <c r="A234" s="7"/>
      <c r="B234" s="7"/>
      <c r="C234" s="7"/>
      <c r="D234" s="7"/>
      <c r="E234" s="7"/>
    </row>
    <row r="235" spans="1:5" ht="15" thickBot="1" x14ac:dyDescent="0.4">
      <c r="A235" s="7"/>
      <c r="B235" s="7"/>
      <c r="C235" s="7"/>
      <c r="D235" s="7"/>
      <c r="E235" s="7"/>
    </row>
    <row r="236" spans="1:5" ht="15" thickBot="1" x14ac:dyDescent="0.4">
      <c r="A236" s="7"/>
      <c r="B236" s="7"/>
      <c r="C236" s="7"/>
      <c r="D236" s="7"/>
      <c r="E236" s="7"/>
    </row>
    <row r="237" spans="1:5" ht="15" thickBot="1" x14ac:dyDescent="0.4">
      <c r="A237" s="7"/>
      <c r="B237" s="7"/>
      <c r="C237" s="7"/>
      <c r="D237" s="7"/>
      <c r="E237" s="7"/>
    </row>
    <row r="238" spans="1:5" ht="15" thickBot="1" x14ac:dyDescent="0.4">
      <c r="A238" s="7"/>
      <c r="B238" s="7"/>
      <c r="C238" s="7"/>
      <c r="D238" s="7"/>
      <c r="E238" s="7"/>
    </row>
    <row r="239" spans="1:5" ht="15" thickBot="1" x14ac:dyDescent="0.4">
      <c r="A239" s="7"/>
      <c r="B239" s="7"/>
      <c r="C239" s="7"/>
      <c r="D239" s="7"/>
      <c r="E239" s="7"/>
    </row>
    <row r="240" spans="1:5" ht="15" thickBot="1" x14ac:dyDescent="0.4">
      <c r="A240" s="7"/>
      <c r="B240" s="7"/>
      <c r="C240" s="7"/>
      <c r="D240" s="7"/>
      <c r="E240" s="7"/>
    </row>
    <row r="241" spans="1:5" ht="15" thickBot="1" x14ac:dyDescent="0.4">
      <c r="A241" s="7"/>
      <c r="B241" s="7"/>
      <c r="C241" s="7"/>
      <c r="D241" s="7"/>
      <c r="E241" s="7"/>
    </row>
    <row r="242" spans="1:5" ht="15" thickBot="1" x14ac:dyDescent="0.4">
      <c r="A242" s="7"/>
      <c r="B242" s="7"/>
      <c r="C242" s="7"/>
      <c r="D242" s="7"/>
      <c r="E242" s="7"/>
    </row>
    <row r="243" spans="1:5" ht="15" thickBot="1" x14ac:dyDescent="0.4">
      <c r="A243" s="7"/>
      <c r="B243" s="7"/>
      <c r="C243" s="7"/>
      <c r="D243" s="7"/>
      <c r="E243" s="7"/>
    </row>
    <row r="244" spans="1:5" ht="15" thickBot="1" x14ac:dyDescent="0.4">
      <c r="A244" s="7"/>
      <c r="B244" s="7"/>
      <c r="C244" s="7"/>
      <c r="D244" s="7"/>
      <c r="E244" s="7"/>
    </row>
    <row r="245" spans="1:5" ht="15" thickBot="1" x14ac:dyDescent="0.4">
      <c r="A245" s="7"/>
      <c r="B245" s="7"/>
      <c r="C245" s="7"/>
      <c r="D245" s="7"/>
      <c r="E245" s="7"/>
    </row>
    <row r="246" spans="1:5" ht="15" thickBot="1" x14ac:dyDescent="0.4">
      <c r="A246" s="7"/>
      <c r="B246" s="7"/>
      <c r="C246" s="7"/>
      <c r="D246" s="7"/>
      <c r="E246" s="7"/>
    </row>
    <row r="247" spans="1:5" ht="15" thickBot="1" x14ac:dyDescent="0.4">
      <c r="A247" s="7"/>
      <c r="B247" s="7"/>
      <c r="C247" s="7"/>
      <c r="D247" s="7"/>
      <c r="E247" s="7"/>
    </row>
    <row r="248" spans="1:5" ht="15" thickBot="1" x14ac:dyDescent="0.4">
      <c r="A248" s="7"/>
      <c r="B248" s="7"/>
      <c r="C248" s="7"/>
      <c r="D248" s="7"/>
      <c r="E248" s="7"/>
    </row>
    <row r="249" spans="1:5" ht="15" thickBot="1" x14ac:dyDescent="0.4">
      <c r="A249" s="7"/>
      <c r="B249" s="7"/>
      <c r="C249" s="7"/>
      <c r="D249" s="7"/>
      <c r="E249" s="7"/>
    </row>
    <row r="250" spans="1:5" ht="15" thickBot="1" x14ac:dyDescent="0.4">
      <c r="A250" s="7"/>
      <c r="B250" s="7"/>
      <c r="C250" s="7"/>
      <c r="D250" s="7"/>
      <c r="E250" s="7"/>
    </row>
    <row r="251" spans="1:5" ht="15" thickBot="1" x14ac:dyDescent="0.4">
      <c r="A251" s="7"/>
      <c r="B251" s="7"/>
      <c r="C251" s="7"/>
      <c r="D251" s="7"/>
      <c r="E251" s="7"/>
    </row>
    <row r="252" spans="1:5" ht="15" thickBot="1" x14ac:dyDescent="0.4">
      <c r="A252" s="7"/>
      <c r="B252" s="7"/>
      <c r="C252" s="7"/>
      <c r="D252" s="7"/>
      <c r="E252" s="7"/>
    </row>
    <row r="253" spans="1:5" ht="15" thickBot="1" x14ac:dyDescent="0.4">
      <c r="A253" s="7"/>
      <c r="B253" s="7"/>
      <c r="C253" s="7"/>
      <c r="D253" s="7"/>
      <c r="E253" s="7"/>
    </row>
    <row r="254" spans="1:5" ht="15" thickBot="1" x14ac:dyDescent="0.4">
      <c r="A254" s="7"/>
      <c r="B254" s="7"/>
      <c r="C254" s="7"/>
      <c r="D254" s="7"/>
      <c r="E254" s="7"/>
    </row>
    <row r="255" spans="1:5" ht="15" thickBot="1" x14ac:dyDescent="0.4">
      <c r="A255" s="7"/>
      <c r="B255" s="7"/>
      <c r="C255" s="7"/>
      <c r="D255" s="7"/>
      <c r="E255" s="7"/>
    </row>
    <row r="256" spans="1:5" ht="15" thickBot="1" x14ac:dyDescent="0.4">
      <c r="A256" s="7"/>
      <c r="B256" s="7"/>
      <c r="C256" s="7"/>
      <c r="D256" s="7"/>
      <c r="E256" s="7"/>
    </row>
    <row r="257" spans="1:5" ht="15" thickBot="1" x14ac:dyDescent="0.4">
      <c r="A257" s="7"/>
      <c r="B257" s="7"/>
      <c r="C257" s="7"/>
      <c r="D257" s="7"/>
      <c r="E257" s="7"/>
    </row>
    <row r="258" spans="1:5" ht="15" thickBot="1" x14ac:dyDescent="0.4">
      <c r="A258" s="7"/>
      <c r="B258" s="7"/>
      <c r="C258" s="7"/>
      <c r="D258" s="7"/>
      <c r="E258" s="7"/>
    </row>
    <row r="259" spans="1:5" ht="15" thickBot="1" x14ac:dyDescent="0.4">
      <c r="A259" s="7"/>
      <c r="B259" s="7"/>
      <c r="C259" s="7"/>
      <c r="D259" s="7"/>
      <c r="E259" s="7"/>
    </row>
    <row r="260" spans="1:5" ht="15" thickBot="1" x14ac:dyDescent="0.4">
      <c r="A260" s="7"/>
      <c r="B260" s="7"/>
      <c r="C260" s="7"/>
      <c r="D260" s="7"/>
      <c r="E260" s="7"/>
    </row>
    <row r="261" spans="1:5" ht="15" thickBot="1" x14ac:dyDescent="0.4">
      <c r="A261" s="7"/>
      <c r="B261" s="7"/>
      <c r="C261" s="7"/>
      <c r="D261" s="7"/>
      <c r="E261" s="7"/>
    </row>
    <row r="262" spans="1:5" ht="15" thickBot="1" x14ac:dyDescent="0.4">
      <c r="A262" s="7"/>
      <c r="B262" s="7"/>
      <c r="C262" s="7"/>
      <c r="D262" s="7"/>
      <c r="E262" s="7"/>
    </row>
    <row r="263" spans="1:5" ht="15" thickBot="1" x14ac:dyDescent="0.4">
      <c r="A263" s="7"/>
      <c r="B263" s="7"/>
      <c r="C263" s="7"/>
      <c r="D263" s="7"/>
      <c r="E263" s="7"/>
    </row>
    <row r="264" spans="1:5" ht="15" thickBot="1" x14ac:dyDescent="0.4">
      <c r="A264" s="7"/>
      <c r="B264" s="7"/>
      <c r="C264" s="7"/>
      <c r="D264" s="7"/>
      <c r="E264" s="7"/>
    </row>
    <row r="265" spans="1:5" ht="15" thickBot="1" x14ac:dyDescent="0.4">
      <c r="A265" s="7"/>
      <c r="B265" s="7"/>
      <c r="C265" s="7"/>
      <c r="D265" s="7"/>
      <c r="E265" s="7"/>
    </row>
    <row r="266" spans="1:5" ht="15" thickBot="1" x14ac:dyDescent="0.4">
      <c r="A266" s="7"/>
      <c r="B266" s="7"/>
      <c r="C266" s="7"/>
      <c r="D266" s="7"/>
      <c r="E266" s="7"/>
    </row>
    <row r="267" spans="1:5" ht="15" thickBot="1" x14ac:dyDescent="0.4">
      <c r="A267" s="7"/>
      <c r="B267" s="7"/>
      <c r="C267" s="7"/>
      <c r="D267" s="7"/>
      <c r="E267" s="7"/>
    </row>
    <row r="268" spans="1:5" ht="15" thickBot="1" x14ac:dyDescent="0.4">
      <c r="A268" s="7"/>
      <c r="B268" s="7"/>
      <c r="C268" s="7"/>
      <c r="D268" s="7"/>
      <c r="E268" s="7"/>
    </row>
    <row r="269" spans="1:5" ht="15" thickBot="1" x14ac:dyDescent="0.4">
      <c r="A269" s="7"/>
      <c r="B269" s="7"/>
      <c r="C269" s="7"/>
      <c r="D269" s="7"/>
      <c r="E269" s="7"/>
    </row>
    <row r="270" spans="1:5" ht="15" thickBot="1" x14ac:dyDescent="0.4">
      <c r="A270" s="7"/>
      <c r="B270" s="7"/>
      <c r="C270" s="7"/>
      <c r="D270" s="7"/>
      <c r="E270" s="7"/>
    </row>
    <row r="271" spans="1:5" ht="15" thickBot="1" x14ac:dyDescent="0.4">
      <c r="A271" s="7"/>
      <c r="B271" s="7"/>
      <c r="C271" s="7"/>
      <c r="D271" s="7"/>
      <c r="E271" s="7"/>
    </row>
    <row r="272" spans="1:5" ht="15" thickBot="1" x14ac:dyDescent="0.4">
      <c r="A272" s="7"/>
      <c r="B272" s="7"/>
      <c r="C272" s="7"/>
      <c r="D272" s="7"/>
      <c r="E272" s="7"/>
    </row>
    <row r="273" spans="1:5" ht="15" thickBot="1" x14ac:dyDescent="0.4">
      <c r="A273" s="7"/>
      <c r="B273" s="7"/>
      <c r="C273" s="7"/>
      <c r="D273" s="7"/>
      <c r="E273" s="7"/>
    </row>
    <row r="274" spans="1:5" ht="15" thickBot="1" x14ac:dyDescent="0.4">
      <c r="A274" s="7"/>
      <c r="B274" s="7"/>
      <c r="C274" s="7"/>
      <c r="D274" s="7"/>
      <c r="E274" s="7"/>
    </row>
    <row r="275" spans="1:5" ht="15" thickBot="1" x14ac:dyDescent="0.4">
      <c r="A275" s="7"/>
      <c r="B275" s="7"/>
      <c r="C275" s="7"/>
      <c r="D275" s="7"/>
      <c r="E275" s="7"/>
    </row>
    <row r="276" spans="1:5" ht="15" thickBot="1" x14ac:dyDescent="0.4">
      <c r="A276" s="7"/>
      <c r="B276" s="7"/>
      <c r="C276" s="7"/>
      <c r="D276" s="7"/>
      <c r="E276" s="7"/>
    </row>
    <row r="277" spans="1:5" ht="15" thickBot="1" x14ac:dyDescent="0.4">
      <c r="A277" s="7"/>
      <c r="B277" s="7"/>
      <c r="C277" s="7"/>
      <c r="D277" s="7"/>
      <c r="E277" s="7"/>
    </row>
    <row r="278" spans="1:5" ht="15" thickBot="1" x14ac:dyDescent="0.4">
      <c r="A278" s="7"/>
      <c r="B278" s="7"/>
      <c r="C278" s="7"/>
      <c r="D278" s="7"/>
      <c r="E278" s="7"/>
    </row>
    <row r="279" spans="1:5" ht="15" thickBot="1" x14ac:dyDescent="0.4">
      <c r="A279" s="7"/>
      <c r="B279" s="7"/>
      <c r="C279" s="7"/>
      <c r="D279" s="7"/>
      <c r="E279" s="7"/>
    </row>
    <row r="280" spans="1:5" ht="15" thickBot="1" x14ac:dyDescent="0.4">
      <c r="A280" s="7"/>
      <c r="B280" s="7"/>
      <c r="C280" s="7"/>
      <c r="D280" s="7"/>
      <c r="E280" s="7"/>
    </row>
    <row r="281" spans="1:5" ht="15" thickBot="1" x14ac:dyDescent="0.4">
      <c r="A281" s="7"/>
      <c r="B281" s="7"/>
      <c r="C281" s="7"/>
      <c r="D281" s="7"/>
      <c r="E281" s="7"/>
    </row>
    <row r="282" spans="1:5" ht="15" thickBot="1" x14ac:dyDescent="0.4">
      <c r="A282" s="7"/>
      <c r="B282" s="7"/>
      <c r="C282" s="7"/>
      <c r="D282" s="7"/>
      <c r="E282" s="7"/>
    </row>
    <row r="283" spans="1:5" ht="15" thickBot="1" x14ac:dyDescent="0.4">
      <c r="A283" s="7"/>
      <c r="B283" s="7"/>
      <c r="C283" s="7"/>
      <c r="D283" s="7"/>
      <c r="E283" s="7"/>
    </row>
    <row r="284" spans="1:5" ht="15" thickBot="1" x14ac:dyDescent="0.4">
      <c r="A284" s="7"/>
      <c r="B284" s="7"/>
      <c r="C284" s="7"/>
      <c r="D284" s="7"/>
      <c r="E284" s="7"/>
    </row>
    <row r="285" spans="1:5" ht="15" thickBot="1" x14ac:dyDescent="0.4">
      <c r="A285" s="7"/>
      <c r="B285" s="7"/>
      <c r="C285" s="7"/>
      <c r="D285" s="7"/>
      <c r="E285" s="7"/>
    </row>
    <row r="286" spans="1:5" ht="15" thickBot="1" x14ac:dyDescent="0.4">
      <c r="A286" s="7"/>
      <c r="B286" s="7"/>
      <c r="C286" s="7"/>
      <c r="D286" s="7"/>
      <c r="E286" s="7"/>
    </row>
    <row r="287" spans="1:5" ht="15" thickBot="1" x14ac:dyDescent="0.4">
      <c r="A287" s="7"/>
      <c r="B287" s="7"/>
      <c r="C287" s="7"/>
      <c r="D287" s="7"/>
      <c r="E287" s="7"/>
    </row>
    <row r="288" spans="1:5" ht="15" thickBot="1" x14ac:dyDescent="0.4">
      <c r="A288" s="7"/>
      <c r="B288" s="7"/>
      <c r="C288" s="7"/>
      <c r="D288" s="7"/>
      <c r="E288" s="7"/>
    </row>
    <row r="289" spans="1:5" ht="15" thickBot="1" x14ac:dyDescent="0.4">
      <c r="A289" s="7"/>
      <c r="B289" s="7"/>
      <c r="C289" s="7"/>
      <c r="D289" s="7"/>
      <c r="E289" s="7"/>
    </row>
    <row r="290" spans="1:5" ht="15" thickBot="1" x14ac:dyDescent="0.4">
      <c r="A290" s="7"/>
      <c r="B290" s="7"/>
      <c r="C290" s="7"/>
      <c r="D290" s="7"/>
      <c r="E290" s="7"/>
    </row>
    <row r="291" spans="1:5" ht="15" thickBot="1" x14ac:dyDescent="0.4">
      <c r="A291" s="7"/>
      <c r="B291" s="7"/>
      <c r="C291" s="7"/>
      <c r="D291" s="7"/>
      <c r="E291" s="7"/>
    </row>
    <row r="292" spans="1:5" ht="15" thickBot="1" x14ac:dyDescent="0.4">
      <c r="A292" s="7"/>
      <c r="B292" s="7"/>
      <c r="C292" s="7"/>
      <c r="D292" s="7"/>
      <c r="E292" s="7"/>
    </row>
    <row r="293" spans="1:5" ht="15" thickBot="1" x14ac:dyDescent="0.4">
      <c r="A293" s="7"/>
      <c r="B293" s="7"/>
      <c r="C293" s="7"/>
      <c r="D293" s="7"/>
      <c r="E293" s="7"/>
    </row>
    <row r="294" spans="1:5" ht="15" thickBot="1" x14ac:dyDescent="0.4">
      <c r="A294" s="7"/>
      <c r="B294" s="7"/>
      <c r="C294" s="7"/>
      <c r="D294" s="7"/>
      <c r="E294" s="7"/>
    </row>
    <row r="295" spans="1:5" ht="15" thickBot="1" x14ac:dyDescent="0.4">
      <c r="A295" s="7"/>
      <c r="B295" s="7"/>
      <c r="C295" s="7"/>
      <c r="D295" s="7"/>
      <c r="E295" s="7"/>
    </row>
    <row r="296" spans="1:5" ht="15" thickBot="1" x14ac:dyDescent="0.4">
      <c r="A296" s="7"/>
      <c r="B296" s="7"/>
      <c r="C296" s="7"/>
      <c r="D296" s="7"/>
      <c r="E296" s="7"/>
    </row>
    <row r="297" spans="1:5" ht="15" thickBot="1" x14ac:dyDescent="0.4">
      <c r="A297" s="7"/>
      <c r="B297" s="7"/>
      <c r="C297" s="7"/>
      <c r="D297" s="7"/>
      <c r="E297" s="7"/>
    </row>
    <row r="298" spans="1:5" ht="15" thickBot="1" x14ac:dyDescent="0.4">
      <c r="A298" s="7"/>
      <c r="B298" s="7"/>
      <c r="C298" s="7"/>
      <c r="D298" s="7"/>
      <c r="E298" s="7"/>
    </row>
    <row r="299" spans="1:5" ht="15" thickBot="1" x14ac:dyDescent="0.4">
      <c r="A299" s="7"/>
      <c r="B299" s="7"/>
      <c r="C299" s="7"/>
      <c r="D299" s="7"/>
      <c r="E299" s="7"/>
    </row>
    <row r="300" spans="1:5" ht="15" thickBot="1" x14ac:dyDescent="0.4">
      <c r="A300" s="7"/>
      <c r="B300" s="7"/>
      <c r="C300" s="7"/>
      <c r="D300" s="7"/>
      <c r="E300" s="7"/>
    </row>
    <row r="301" spans="1:5" ht="15" thickBot="1" x14ac:dyDescent="0.4">
      <c r="A301" s="7"/>
      <c r="B301" s="7"/>
      <c r="C301" s="7"/>
      <c r="D301" s="7"/>
      <c r="E301" s="7"/>
    </row>
    <row r="302" spans="1:5" ht="15" thickBot="1" x14ac:dyDescent="0.4">
      <c r="A302" s="7"/>
      <c r="B302" s="7"/>
      <c r="C302" s="7"/>
      <c r="D302" s="7"/>
      <c r="E302" s="7"/>
    </row>
    <row r="303" spans="1:5" ht="15" thickBot="1" x14ac:dyDescent="0.4">
      <c r="A303" s="7"/>
      <c r="B303" s="7"/>
      <c r="C303" s="7"/>
      <c r="D303" s="7"/>
      <c r="E303" s="7"/>
    </row>
    <row r="304" spans="1:5" ht="15" thickBot="1" x14ac:dyDescent="0.4">
      <c r="A304" s="7"/>
      <c r="B304" s="7"/>
      <c r="C304" s="7"/>
      <c r="D304" s="7"/>
      <c r="E304" s="7"/>
    </row>
    <row r="305" spans="1:5" ht="15" thickBot="1" x14ac:dyDescent="0.4">
      <c r="A305" s="7"/>
      <c r="B305" s="7"/>
      <c r="C305" s="7"/>
      <c r="D305" s="7"/>
      <c r="E305" s="7"/>
    </row>
    <row r="306" spans="1:5" ht="15" thickBot="1" x14ac:dyDescent="0.4">
      <c r="A306" s="7"/>
      <c r="B306" s="7"/>
      <c r="C306" s="7"/>
      <c r="D306" s="7"/>
      <c r="E306" s="7"/>
    </row>
    <row r="307" spans="1:5" ht="15" thickBot="1" x14ac:dyDescent="0.4">
      <c r="A307" s="7"/>
      <c r="B307" s="7"/>
      <c r="C307" s="7"/>
      <c r="D307" s="7"/>
      <c r="E307" s="7"/>
    </row>
    <row r="308" spans="1:5" ht="15" thickBot="1" x14ac:dyDescent="0.4">
      <c r="A308" s="7"/>
      <c r="B308" s="7"/>
      <c r="C308" s="7"/>
      <c r="D308" s="7"/>
      <c r="E308" s="7"/>
    </row>
    <row r="309" spans="1:5" ht="15" thickBot="1" x14ac:dyDescent="0.4">
      <c r="A309" s="7"/>
      <c r="B309" s="7"/>
      <c r="C309" s="7"/>
      <c r="D309" s="7"/>
      <c r="E309" s="7"/>
    </row>
    <row r="310" spans="1:5" ht="15" thickBot="1" x14ac:dyDescent="0.4">
      <c r="A310" s="7"/>
      <c r="B310" s="7"/>
      <c r="C310" s="7"/>
      <c r="D310" s="7"/>
      <c r="E310" s="7"/>
    </row>
    <row r="311" spans="1:5" ht="15" thickBot="1" x14ac:dyDescent="0.4">
      <c r="A311" s="7"/>
      <c r="B311" s="7"/>
      <c r="C311" s="7"/>
      <c r="D311" s="7"/>
      <c r="E311" s="7"/>
    </row>
    <row r="312" spans="1:5" ht="15" thickBot="1" x14ac:dyDescent="0.4">
      <c r="A312" s="7"/>
      <c r="B312" s="7"/>
      <c r="C312" s="7"/>
      <c r="D312" s="7"/>
      <c r="E312" s="7"/>
    </row>
    <row r="313" spans="1:5" ht="15" thickBot="1" x14ac:dyDescent="0.4">
      <c r="A313" s="7"/>
      <c r="B313" s="7"/>
      <c r="C313" s="7"/>
      <c r="D313" s="7"/>
      <c r="E313" s="7"/>
    </row>
    <row r="314" spans="1:5" ht="15" thickBot="1" x14ac:dyDescent="0.4">
      <c r="A314" s="7"/>
      <c r="B314" s="7"/>
      <c r="C314" s="7"/>
      <c r="D314" s="7"/>
      <c r="E314" s="7"/>
    </row>
    <row r="315" spans="1:5" ht="15" thickBot="1" x14ac:dyDescent="0.4">
      <c r="A315" s="7"/>
      <c r="B315" s="7"/>
      <c r="C315" s="7"/>
      <c r="D315" s="7"/>
      <c r="E315" s="7"/>
    </row>
    <row r="316" spans="1:5" ht="15" thickBot="1" x14ac:dyDescent="0.4">
      <c r="A316" s="7"/>
      <c r="B316" s="7"/>
      <c r="C316" s="7"/>
      <c r="D316" s="7"/>
      <c r="E316" s="7"/>
    </row>
    <row r="317" spans="1:5" ht="15" thickBot="1" x14ac:dyDescent="0.4">
      <c r="A317" s="7"/>
      <c r="B317" s="7"/>
      <c r="C317" s="7"/>
      <c r="D317" s="7"/>
      <c r="E317" s="7"/>
    </row>
    <row r="318" spans="1:5" ht="15" thickBot="1" x14ac:dyDescent="0.4">
      <c r="A318" s="7"/>
      <c r="B318" s="7"/>
      <c r="C318" s="7"/>
      <c r="D318" s="7"/>
      <c r="E318" s="7"/>
    </row>
    <row r="319" spans="1:5" ht="15" thickBot="1" x14ac:dyDescent="0.4">
      <c r="A319" s="7"/>
      <c r="B319" s="7"/>
      <c r="C319" s="7"/>
      <c r="D319" s="7"/>
      <c r="E319" s="7"/>
    </row>
    <row r="320" spans="1:5" ht="15" thickBot="1" x14ac:dyDescent="0.4">
      <c r="A320" s="7"/>
      <c r="B320" s="7"/>
      <c r="C320" s="7"/>
      <c r="D320" s="7"/>
      <c r="E320" s="7"/>
    </row>
    <row r="321" spans="1:5" ht="15" thickBot="1" x14ac:dyDescent="0.4">
      <c r="A321" s="7"/>
      <c r="B321" s="7"/>
      <c r="C321" s="7"/>
      <c r="D321" s="7"/>
      <c r="E321" s="7"/>
    </row>
    <row r="322" spans="1:5" ht="15" thickBot="1" x14ac:dyDescent="0.4">
      <c r="A322" s="7"/>
      <c r="B322" s="7"/>
      <c r="C322" s="7"/>
      <c r="D322" s="7"/>
      <c r="E322" s="7"/>
    </row>
    <row r="323" spans="1:5" ht="15" thickBot="1" x14ac:dyDescent="0.4">
      <c r="A323" s="7"/>
      <c r="B323" s="7"/>
      <c r="C323" s="7"/>
      <c r="D323" s="7"/>
      <c r="E323" s="7"/>
    </row>
    <row r="324" spans="1:5" ht="15" thickBot="1" x14ac:dyDescent="0.4">
      <c r="A324" s="7"/>
      <c r="B324" s="7"/>
      <c r="C324" s="7"/>
      <c r="D324" s="7"/>
      <c r="E324" s="7"/>
    </row>
    <row r="325" spans="1:5" ht="15" thickBot="1" x14ac:dyDescent="0.4">
      <c r="A325" s="7"/>
      <c r="B325" s="7"/>
      <c r="C325" s="7"/>
      <c r="D325" s="7"/>
      <c r="E325" s="7"/>
    </row>
    <row r="326" spans="1:5" ht="15" thickBot="1" x14ac:dyDescent="0.4">
      <c r="A326" s="7"/>
      <c r="B326" s="7"/>
      <c r="C326" s="7"/>
      <c r="D326" s="7"/>
      <c r="E326" s="7"/>
    </row>
    <row r="327" spans="1:5" ht="15" thickBot="1" x14ac:dyDescent="0.4">
      <c r="A327" s="7"/>
      <c r="B327" s="7"/>
      <c r="C327" s="7"/>
      <c r="D327" s="7"/>
      <c r="E327" s="7"/>
    </row>
    <row r="328" spans="1:5" ht="15" thickBot="1" x14ac:dyDescent="0.4">
      <c r="A328" s="7"/>
      <c r="B328" s="7"/>
      <c r="C328" s="7"/>
      <c r="D328" s="7"/>
      <c r="E328" s="7"/>
    </row>
    <row r="329" spans="1:5" ht="15" thickBot="1" x14ac:dyDescent="0.4">
      <c r="A329" s="7"/>
      <c r="B329" s="7"/>
      <c r="C329" s="7"/>
      <c r="D329" s="7"/>
      <c r="E329" s="7"/>
    </row>
    <row r="330" spans="1:5" ht="15" thickBot="1" x14ac:dyDescent="0.4">
      <c r="A330" s="7"/>
      <c r="B330" s="7"/>
      <c r="C330" s="7"/>
      <c r="D330" s="7"/>
      <c r="E330" s="7"/>
    </row>
    <row r="331" spans="1:5" ht="15" thickBot="1" x14ac:dyDescent="0.4">
      <c r="A331" s="7"/>
      <c r="B331" s="7"/>
      <c r="C331" s="7"/>
      <c r="D331" s="7"/>
      <c r="E331" s="7"/>
    </row>
    <row r="332" spans="1:5" ht="15" thickBot="1" x14ac:dyDescent="0.4">
      <c r="A332" s="7"/>
      <c r="B332" s="7"/>
      <c r="C332" s="7"/>
      <c r="D332" s="7"/>
      <c r="E332" s="7"/>
    </row>
    <row r="333" spans="1:5" ht="15" thickBot="1" x14ac:dyDescent="0.4">
      <c r="A333" s="7"/>
      <c r="B333" s="7"/>
      <c r="C333" s="7"/>
      <c r="D333" s="7"/>
      <c r="E333" s="7"/>
    </row>
    <row r="334" spans="1:5" ht="15" thickBot="1" x14ac:dyDescent="0.4">
      <c r="A334" s="7"/>
      <c r="B334" s="7"/>
      <c r="C334" s="7"/>
      <c r="D334" s="7"/>
      <c r="E334" s="7"/>
    </row>
    <row r="335" spans="1:5" ht="15" thickBot="1" x14ac:dyDescent="0.4">
      <c r="A335" s="7"/>
      <c r="B335" s="7"/>
      <c r="C335" s="7"/>
      <c r="D335" s="7"/>
      <c r="E335" s="7"/>
    </row>
    <row r="336" spans="1:5" ht="15" thickBot="1" x14ac:dyDescent="0.4">
      <c r="A336" s="7"/>
      <c r="B336" s="7"/>
      <c r="C336" s="7"/>
      <c r="D336" s="7"/>
      <c r="E336" s="7"/>
    </row>
    <row r="337" spans="1:5" ht="15" thickBot="1" x14ac:dyDescent="0.4">
      <c r="A337" s="7"/>
      <c r="B337" s="7"/>
      <c r="C337" s="7"/>
      <c r="D337" s="7"/>
      <c r="E337" s="7"/>
    </row>
    <row r="338" spans="1:5" ht="15" thickBot="1" x14ac:dyDescent="0.4">
      <c r="A338" s="7"/>
      <c r="B338" s="7"/>
      <c r="C338" s="7"/>
      <c r="D338" s="7"/>
      <c r="E338" s="7"/>
    </row>
    <row r="339" spans="1:5" ht="15" thickBot="1" x14ac:dyDescent="0.4">
      <c r="A339" s="7"/>
      <c r="B339" s="7"/>
      <c r="C339" s="7"/>
      <c r="D339" s="7"/>
      <c r="E339" s="7"/>
    </row>
    <row r="340" spans="1:5" ht="15" thickBot="1" x14ac:dyDescent="0.4">
      <c r="A340" s="7"/>
      <c r="B340" s="7"/>
      <c r="C340" s="7"/>
      <c r="D340" s="7"/>
      <c r="E340" s="7"/>
    </row>
    <row r="341" spans="1:5" ht="15" thickBot="1" x14ac:dyDescent="0.4">
      <c r="A341" s="7"/>
      <c r="B341" s="7"/>
      <c r="C341" s="7"/>
      <c r="D341" s="7"/>
      <c r="E341" s="7"/>
    </row>
    <row r="342" spans="1:5" ht="15" thickBot="1" x14ac:dyDescent="0.4">
      <c r="A342" s="7"/>
      <c r="B342" s="7"/>
      <c r="C342" s="7"/>
      <c r="D342" s="7"/>
      <c r="E342" s="7"/>
    </row>
    <row r="343" spans="1:5" ht="15" thickBot="1" x14ac:dyDescent="0.4">
      <c r="A343" s="7"/>
      <c r="B343" s="7"/>
      <c r="C343" s="7"/>
      <c r="D343" s="7"/>
      <c r="E343" s="7"/>
    </row>
    <row r="344" spans="1:5" ht="15" thickBot="1" x14ac:dyDescent="0.4">
      <c r="A344" s="7"/>
      <c r="B344" s="7"/>
      <c r="C344" s="7"/>
      <c r="D344" s="7"/>
      <c r="E344" s="7"/>
    </row>
    <row r="345" spans="1:5" ht="15" thickBot="1" x14ac:dyDescent="0.4">
      <c r="A345" s="7"/>
      <c r="B345" s="7"/>
      <c r="C345" s="7"/>
      <c r="D345" s="7"/>
      <c r="E345" s="7"/>
    </row>
    <row r="346" spans="1:5" ht="15" thickBot="1" x14ac:dyDescent="0.4">
      <c r="A346" s="7"/>
      <c r="B346" s="7"/>
      <c r="C346" s="7"/>
      <c r="D346" s="7"/>
      <c r="E346" s="7"/>
    </row>
    <row r="347" spans="1:5" ht="15" thickBot="1" x14ac:dyDescent="0.4">
      <c r="A347" s="7"/>
      <c r="B347" s="7"/>
      <c r="C347" s="7"/>
      <c r="D347" s="7"/>
      <c r="E347" s="7"/>
    </row>
    <row r="348" spans="1:5" ht="15" thickBot="1" x14ac:dyDescent="0.4">
      <c r="A348" s="7"/>
      <c r="B348" s="7"/>
      <c r="C348" s="7"/>
      <c r="D348" s="7"/>
      <c r="E348" s="7"/>
    </row>
    <row r="349" spans="1:5" ht="15" thickBot="1" x14ac:dyDescent="0.4">
      <c r="A349" s="7"/>
      <c r="B349" s="7"/>
      <c r="C349" s="7"/>
      <c r="D349" s="7"/>
      <c r="E349" s="7"/>
    </row>
    <row r="350" spans="1:5" ht="15" thickBot="1" x14ac:dyDescent="0.4">
      <c r="A350" s="7"/>
      <c r="B350" s="7"/>
      <c r="C350" s="7"/>
      <c r="D350" s="7"/>
      <c r="E350" s="7"/>
    </row>
    <row r="351" spans="1:5" ht="15" thickBot="1" x14ac:dyDescent="0.4">
      <c r="A351" s="7"/>
      <c r="B351" s="7"/>
      <c r="C351" s="7"/>
      <c r="D351" s="7"/>
      <c r="E351" s="7"/>
    </row>
    <row r="352" spans="1:5" ht="15" thickBot="1" x14ac:dyDescent="0.4">
      <c r="A352" s="7"/>
      <c r="B352" s="7"/>
      <c r="C352" s="7"/>
      <c r="D352" s="7"/>
      <c r="E352" s="7"/>
    </row>
    <row r="353" spans="1:5" ht="15" thickBot="1" x14ac:dyDescent="0.4">
      <c r="A353" s="7"/>
      <c r="B353" s="7"/>
      <c r="C353" s="7"/>
      <c r="D353" s="7"/>
      <c r="E353" s="7"/>
    </row>
    <row r="354" spans="1:5" ht="15" thickBot="1" x14ac:dyDescent="0.4">
      <c r="A354" s="7"/>
      <c r="B354" s="7"/>
      <c r="C354" s="7"/>
      <c r="D354" s="7"/>
      <c r="E354" s="7"/>
    </row>
    <row r="355" spans="1:5" ht="15" thickBot="1" x14ac:dyDescent="0.4">
      <c r="A355" s="7"/>
      <c r="B355" s="7"/>
      <c r="C355" s="7"/>
      <c r="D355" s="7"/>
      <c r="E355" s="7"/>
    </row>
    <row r="356" spans="1:5" ht="15" thickBot="1" x14ac:dyDescent="0.4">
      <c r="A356" s="7"/>
      <c r="B356" s="7"/>
      <c r="C356" s="7"/>
      <c r="D356" s="7"/>
      <c r="E356" s="7"/>
    </row>
    <row r="357" spans="1:5" ht="15" thickBot="1" x14ac:dyDescent="0.4">
      <c r="A357" s="7"/>
      <c r="B357" s="7"/>
      <c r="C357" s="7"/>
      <c r="D357" s="7"/>
      <c r="E357" s="7"/>
    </row>
    <row r="358" spans="1:5" ht="15" thickBot="1" x14ac:dyDescent="0.4">
      <c r="A358" s="7"/>
      <c r="B358" s="7"/>
      <c r="C358" s="7"/>
      <c r="D358" s="7"/>
      <c r="E358" s="7"/>
    </row>
    <row r="359" spans="1:5" ht="15" thickBot="1" x14ac:dyDescent="0.4">
      <c r="A359" s="7"/>
      <c r="B359" s="7"/>
      <c r="C359" s="7"/>
      <c r="D359" s="7"/>
      <c r="E359" s="7"/>
    </row>
    <row r="360" spans="1:5" ht="15" thickBot="1" x14ac:dyDescent="0.4">
      <c r="A360" s="7"/>
      <c r="B360" s="7"/>
      <c r="C360" s="7"/>
      <c r="D360" s="7"/>
      <c r="E360" s="7"/>
    </row>
    <row r="361" spans="1:5" ht="15" thickBot="1" x14ac:dyDescent="0.4">
      <c r="A361" s="7"/>
      <c r="B361" s="7"/>
      <c r="C361" s="7"/>
      <c r="D361" s="7"/>
      <c r="E361" s="7"/>
    </row>
    <row r="362" spans="1:5" ht="15" thickBot="1" x14ac:dyDescent="0.4">
      <c r="A362" s="7"/>
      <c r="B362" s="7"/>
      <c r="C362" s="7"/>
      <c r="D362" s="7"/>
      <c r="E362" s="7"/>
    </row>
    <row r="363" spans="1:5" ht="15" thickBot="1" x14ac:dyDescent="0.4">
      <c r="A363" s="7"/>
      <c r="B363" s="7"/>
      <c r="C363" s="7"/>
      <c r="D363" s="7"/>
      <c r="E363" s="7"/>
    </row>
    <row r="364" spans="1:5" ht="15" thickBot="1" x14ac:dyDescent="0.4">
      <c r="A364" s="7"/>
      <c r="B364" s="7"/>
      <c r="C364" s="7"/>
      <c r="D364" s="7"/>
      <c r="E364" s="7"/>
    </row>
    <row r="365" spans="1:5" ht="15" thickBot="1" x14ac:dyDescent="0.4">
      <c r="A365" s="7"/>
      <c r="B365" s="7"/>
      <c r="C365" s="7"/>
      <c r="D365" s="7"/>
      <c r="E365" s="7"/>
    </row>
    <row r="366" spans="1:5" ht="15" thickBot="1" x14ac:dyDescent="0.4">
      <c r="A366" s="7"/>
      <c r="B366" s="7"/>
      <c r="C366" s="7"/>
      <c r="D366" s="7"/>
      <c r="E366" s="7"/>
    </row>
    <row r="367" spans="1:5" ht="15" thickBot="1" x14ac:dyDescent="0.4">
      <c r="A367" s="7"/>
      <c r="B367" s="7"/>
      <c r="C367" s="7"/>
      <c r="D367" s="7"/>
      <c r="E367" s="7"/>
    </row>
    <row r="368" spans="1:5" ht="15" thickBot="1" x14ac:dyDescent="0.4">
      <c r="A368" s="7"/>
      <c r="B368" s="7"/>
      <c r="C368" s="7"/>
      <c r="D368" s="7"/>
      <c r="E368" s="7"/>
    </row>
    <row r="369" spans="1:5" ht="15" thickBot="1" x14ac:dyDescent="0.4">
      <c r="A369" s="7"/>
      <c r="B369" s="7"/>
      <c r="C369" s="7"/>
      <c r="D369" s="7"/>
      <c r="E369" s="7"/>
    </row>
    <row r="370" spans="1:5" ht="15" thickBot="1" x14ac:dyDescent="0.4">
      <c r="A370" s="7"/>
      <c r="B370" s="7"/>
      <c r="C370" s="7"/>
      <c r="D370" s="7"/>
      <c r="E370" s="7"/>
    </row>
    <row r="371" spans="1:5" ht="15" thickBot="1" x14ac:dyDescent="0.4">
      <c r="A371" s="7"/>
      <c r="B371" s="7"/>
      <c r="C371" s="7"/>
      <c r="D371" s="7"/>
      <c r="E371" s="7"/>
    </row>
    <row r="372" spans="1:5" ht="15" thickBot="1" x14ac:dyDescent="0.4">
      <c r="A372" s="7"/>
      <c r="B372" s="7"/>
      <c r="C372" s="7"/>
      <c r="D372" s="7"/>
      <c r="E372" s="7"/>
    </row>
    <row r="373" spans="1:5" ht="15" thickBot="1" x14ac:dyDescent="0.4">
      <c r="A373" s="7"/>
      <c r="B373" s="7"/>
      <c r="C373" s="7"/>
      <c r="D373" s="7"/>
      <c r="E373" s="7"/>
    </row>
    <row r="374" spans="1:5" ht="15" thickBot="1" x14ac:dyDescent="0.4">
      <c r="A374" s="7"/>
      <c r="B374" s="7"/>
      <c r="C374" s="7"/>
      <c r="D374" s="7"/>
      <c r="E374" s="7"/>
    </row>
    <row r="375" spans="1:5" ht="15" thickBot="1" x14ac:dyDescent="0.4">
      <c r="A375" s="7"/>
      <c r="B375" s="7"/>
      <c r="C375" s="7"/>
      <c r="D375" s="7"/>
      <c r="E375" s="7"/>
    </row>
    <row r="376" spans="1:5" ht="15" thickBot="1" x14ac:dyDescent="0.4">
      <c r="A376" s="7"/>
      <c r="B376" s="7"/>
      <c r="C376" s="7"/>
      <c r="D376" s="7"/>
      <c r="E376" s="7"/>
    </row>
    <row r="377" spans="1:5" ht="15" thickBot="1" x14ac:dyDescent="0.4">
      <c r="A377" s="7"/>
      <c r="B377" s="7"/>
      <c r="C377" s="7"/>
      <c r="D377" s="7"/>
      <c r="E377" s="7"/>
    </row>
    <row r="378" spans="1:5" ht="15" thickBot="1" x14ac:dyDescent="0.4">
      <c r="A378" s="7"/>
      <c r="B378" s="7"/>
      <c r="C378" s="7"/>
      <c r="D378" s="7"/>
      <c r="E378" s="7"/>
    </row>
    <row r="379" spans="1:5" ht="15" thickBot="1" x14ac:dyDescent="0.4">
      <c r="A379" s="7"/>
      <c r="B379" s="7"/>
      <c r="C379" s="7"/>
      <c r="D379" s="7"/>
      <c r="E379" s="7"/>
    </row>
    <row r="380" spans="1:5" ht="15" thickBot="1" x14ac:dyDescent="0.4">
      <c r="A380" s="7"/>
      <c r="B380" s="7"/>
      <c r="C380" s="7"/>
      <c r="D380" s="7"/>
      <c r="E380" s="7"/>
    </row>
    <row r="381" spans="1:5" ht="15" thickBot="1" x14ac:dyDescent="0.4">
      <c r="A381" s="7"/>
      <c r="B381" s="7"/>
      <c r="C381" s="7"/>
      <c r="D381" s="7"/>
      <c r="E381" s="7"/>
    </row>
    <row r="382" spans="1:5" ht="15" thickBot="1" x14ac:dyDescent="0.4">
      <c r="A382" s="7"/>
      <c r="B382" s="7"/>
      <c r="C382" s="7"/>
      <c r="D382" s="7"/>
      <c r="E382" s="7"/>
    </row>
    <row r="383" spans="1:5" ht="15" thickBot="1" x14ac:dyDescent="0.4">
      <c r="A383" s="7"/>
      <c r="B383" s="7"/>
      <c r="C383" s="7"/>
      <c r="D383" s="7"/>
      <c r="E383" s="7"/>
    </row>
    <row r="384" spans="1:5" ht="15" thickBot="1" x14ac:dyDescent="0.4">
      <c r="A384" s="7"/>
      <c r="B384" s="7"/>
      <c r="C384" s="7"/>
      <c r="D384" s="7"/>
      <c r="E384" s="7"/>
    </row>
    <row r="385" spans="1:5" ht="15" thickBot="1" x14ac:dyDescent="0.4">
      <c r="A385" s="7"/>
      <c r="B385" s="7"/>
      <c r="C385" s="7"/>
      <c r="D385" s="7"/>
      <c r="E385" s="7"/>
    </row>
    <row r="386" spans="1:5" ht="15" thickBot="1" x14ac:dyDescent="0.4">
      <c r="A386" s="7"/>
      <c r="B386" s="7"/>
      <c r="C386" s="7"/>
      <c r="D386" s="7"/>
      <c r="E386" s="7"/>
    </row>
    <row r="387" spans="1:5" ht="15" thickBot="1" x14ac:dyDescent="0.4">
      <c r="A387" s="7"/>
      <c r="B387" s="7"/>
      <c r="C387" s="7"/>
      <c r="D387" s="7"/>
      <c r="E387" s="7"/>
    </row>
    <row r="388" spans="1:5" ht="15" thickBot="1" x14ac:dyDescent="0.4">
      <c r="A388" s="7"/>
      <c r="B388" s="7"/>
      <c r="C388" s="7"/>
      <c r="D388" s="7"/>
      <c r="E388" s="7"/>
    </row>
    <row r="389" spans="1:5" ht="15" thickBot="1" x14ac:dyDescent="0.4">
      <c r="A389" s="7"/>
      <c r="B389" s="7"/>
      <c r="C389" s="7"/>
      <c r="D389" s="7"/>
      <c r="E389" s="7"/>
    </row>
    <row r="390" spans="1:5" ht="15" thickBot="1" x14ac:dyDescent="0.4">
      <c r="A390" s="7"/>
      <c r="B390" s="7"/>
      <c r="C390" s="7"/>
      <c r="D390" s="7"/>
      <c r="E390" s="7"/>
    </row>
    <row r="391" spans="1:5" ht="15" thickBot="1" x14ac:dyDescent="0.4">
      <c r="A391" s="7"/>
      <c r="B391" s="7"/>
      <c r="C391" s="7"/>
      <c r="D391" s="7"/>
      <c r="E391" s="7"/>
    </row>
    <row r="392" spans="1:5" ht="15" thickBot="1" x14ac:dyDescent="0.4">
      <c r="A392" s="7"/>
      <c r="B392" s="7"/>
      <c r="C392" s="7"/>
      <c r="D392" s="7"/>
      <c r="E392" s="7"/>
    </row>
    <row r="393" spans="1:5" ht="15" thickBot="1" x14ac:dyDescent="0.4">
      <c r="A393" s="7"/>
      <c r="B393" s="7"/>
      <c r="C393" s="7"/>
      <c r="D393" s="7"/>
      <c r="E393" s="7"/>
    </row>
    <row r="394" spans="1:5" ht="15" thickBot="1" x14ac:dyDescent="0.4">
      <c r="A394" s="7"/>
      <c r="B394" s="7"/>
      <c r="C394" s="7"/>
      <c r="D394" s="7"/>
      <c r="E394" s="7"/>
    </row>
    <row r="395" spans="1:5" ht="15" thickBot="1" x14ac:dyDescent="0.4">
      <c r="A395" s="7"/>
      <c r="B395" s="7"/>
      <c r="C395" s="7"/>
      <c r="D395" s="7"/>
      <c r="E395" s="7"/>
    </row>
    <row r="396" spans="1:5" ht="15" thickBot="1" x14ac:dyDescent="0.4">
      <c r="A396" s="7"/>
      <c r="B396" s="7"/>
      <c r="C396" s="7"/>
      <c r="D396" s="7"/>
      <c r="E396" s="7"/>
    </row>
    <row r="397" spans="1:5" ht="15" thickBot="1" x14ac:dyDescent="0.4">
      <c r="A397" s="7"/>
      <c r="B397" s="7"/>
      <c r="C397" s="7"/>
      <c r="D397" s="7"/>
      <c r="E397" s="7"/>
    </row>
    <row r="398" spans="1:5" ht="15" thickBot="1" x14ac:dyDescent="0.4">
      <c r="A398" s="7"/>
      <c r="B398" s="7"/>
      <c r="C398" s="7"/>
      <c r="D398" s="7"/>
      <c r="E398" s="7"/>
    </row>
    <row r="399" spans="1:5" ht="15" thickBot="1" x14ac:dyDescent="0.4">
      <c r="A399" s="7"/>
      <c r="B399" s="7"/>
      <c r="C399" s="7"/>
      <c r="D399" s="7"/>
      <c r="E399" s="7"/>
    </row>
    <row r="400" spans="1:5" ht="15" thickBot="1" x14ac:dyDescent="0.4">
      <c r="A400" s="7"/>
      <c r="B400" s="7"/>
      <c r="C400" s="7"/>
      <c r="D400" s="7"/>
      <c r="E400" s="7"/>
    </row>
    <row r="401" spans="1:5" ht="15" thickBot="1" x14ac:dyDescent="0.4">
      <c r="A401" s="7"/>
      <c r="B401" s="7"/>
      <c r="C401" s="7"/>
      <c r="D401" s="7"/>
      <c r="E401" s="7"/>
    </row>
    <row r="402" spans="1:5" ht="15" thickBot="1" x14ac:dyDescent="0.4">
      <c r="A402" s="7"/>
      <c r="B402" s="7"/>
      <c r="C402" s="7"/>
      <c r="D402" s="7"/>
      <c r="E402" s="7"/>
    </row>
    <row r="403" spans="1:5" ht="15" thickBot="1" x14ac:dyDescent="0.4">
      <c r="A403" s="7"/>
      <c r="B403" s="7"/>
      <c r="C403" s="7"/>
      <c r="D403" s="7"/>
      <c r="E403" s="7"/>
    </row>
    <row r="404" spans="1:5" ht="15" thickBot="1" x14ac:dyDescent="0.4">
      <c r="A404" s="7"/>
      <c r="B404" s="7"/>
      <c r="C404" s="7"/>
      <c r="D404" s="7"/>
      <c r="E404" s="7"/>
    </row>
    <row r="405" spans="1:5" ht="15" thickBot="1" x14ac:dyDescent="0.4">
      <c r="A405" s="7"/>
      <c r="B405" s="7"/>
      <c r="C405" s="7"/>
      <c r="D405" s="7"/>
      <c r="E405" s="7"/>
    </row>
    <row r="406" spans="1:5" ht="15" thickBot="1" x14ac:dyDescent="0.4">
      <c r="A406" s="7"/>
      <c r="B406" s="7"/>
      <c r="C406" s="7"/>
      <c r="D406" s="7"/>
      <c r="E406" s="7"/>
    </row>
    <row r="407" spans="1:5" ht="15" thickBot="1" x14ac:dyDescent="0.4">
      <c r="A407" s="7"/>
      <c r="B407" s="7"/>
      <c r="C407" s="7"/>
      <c r="D407" s="7"/>
      <c r="E407" s="7"/>
    </row>
    <row r="408" spans="1:5" ht="15" thickBot="1" x14ac:dyDescent="0.4">
      <c r="A408" s="7"/>
      <c r="B408" s="7"/>
      <c r="C408" s="7"/>
      <c r="D408" s="7"/>
      <c r="E408" s="7"/>
    </row>
    <row r="409" spans="1:5" ht="15" thickBot="1" x14ac:dyDescent="0.4">
      <c r="A409" s="7"/>
      <c r="B409" s="7"/>
      <c r="C409" s="7"/>
      <c r="D409" s="7"/>
      <c r="E409" s="7"/>
    </row>
    <row r="410" spans="1:5" ht="15" thickBot="1" x14ac:dyDescent="0.4">
      <c r="A410" s="7"/>
      <c r="B410" s="7"/>
      <c r="C410" s="7"/>
      <c r="D410" s="7"/>
      <c r="E410" s="7"/>
    </row>
    <row r="411" spans="1:5" ht="15" thickBot="1" x14ac:dyDescent="0.4">
      <c r="A411" s="7"/>
      <c r="B411" s="7"/>
      <c r="C411" s="7"/>
      <c r="D411" s="7"/>
      <c r="E411" s="7"/>
    </row>
    <row r="412" spans="1:5" ht="15" thickBot="1" x14ac:dyDescent="0.4">
      <c r="A412" s="7"/>
      <c r="B412" s="7"/>
      <c r="C412" s="7"/>
      <c r="D412" s="7"/>
      <c r="E412" s="7"/>
    </row>
    <row r="413" spans="1:5" ht="15" thickBot="1" x14ac:dyDescent="0.4">
      <c r="A413" s="7"/>
      <c r="B413" s="7"/>
      <c r="C413" s="7"/>
      <c r="D413" s="7"/>
      <c r="E413" s="7"/>
    </row>
    <row r="414" spans="1:5" ht="15" thickBot="1" x14ac:dyDescent="0.4">
      <c r="A414" s="7"/>
      <c r="B414" s="7"/>
      <c r="C414" s="7"/>
      <c r="D414" s="7"/>
      <c r="E414" s="7"/>
    </row>
    <row r="415" spans="1:5" ht="15" thickBot="1" x14ac:dyDescent="0.4">
      <c r="A415" s="7"/>
      <c r="B415" s="7"/>
      <c r="C415" s="7"/>
      <c r="D415" s="7"/>
      <c r="E415" s="7"/>
    </row>
    <row r="416" spans="1:5" ht="15" thickBot="1" x14ac:dyDescent="0.4">
      <c r="A416" s="7"/>
      <c r="B416" s="7"/>
      <c r="C416" s="7"/>
      <c r="D416" s="7"/>
      <c r="E416" s="7"/>
    </row>
    <row r="417" spans="1:5" ht="15" thickBot="1" x14ac:dyDescent="0.4">
      <c r="A417" s="7"/>
      <c r="B417" s="7"/>
      <c r="C417" s="7"/>
      <c r="D417" s="7"/>
      <c r="E417" s="7"/>
    </row>
    <row r="418" spans="1:5" ht="15" thickBot="1" x14ac:dyDescent="0.4">
      <c r="A418" s="7"/>
      <c r="B418" s="7"/>
      <c r="C418" s="7"/>
      <c r="D418" s="7"/>
      <c r="E418" s="7"/>
    </row>
    <row r="419" spans="1:5" ht="15" thickBot="1" x14ac:dyDescent="0.4">
      <c r="A419" s="7"/>
      <c r="B419" s="7"/>
      <c r="C419" s="7"/>
      <c r="D419" s="7"/>
      <c r="E419" s="7"/>
    </row>
    <row r="420" spans="1:5" ht="15" thickBot="1" x14ac:dyDescent="0.4">
      <c r="A420" s="7"/>
      <c r="B420" s="7"/>
      <c r="C420" s="7"/>
      <c r="D420" s="7"/>
      <c r="E420" s="7"/>
    </row>
    <row r="421" spans="1:5" ht="15" thickBot="1" x14ac:dyDescent="0.4">
      <c r="A421" s="7"/>
      <c r="B421" s="7"/>
      <c r="C421" s="7"/>
      <c r="D421" s="7"/>
      <c r="E421" s="7"/>
    </row>
    <row r="422" spans="1:5" ht="15" thickBot="1" x14ac:dyDescent="0.4">
      <c r="A422" s="7"/>
      <c r="B422" s="7"/>
      <c r="C422" s="7"/>
      <c r="D422" s="7"/>
      <c r="E422" s="7"/>
    </row>
    <row r="423" spans="1:5" ht="15" thickBot="1" x14ac:dyDescent="0.4">
      <c r="A423" s="7"/>
      <c r="B423" s="7"/>
      <c r="C423" s="7"/>
      <c r="D423" s="7"/>
      <c r="E423" s="7"/>
    </row>
    <row r="424" spans="1:5" ht="15" thickBot="1" x14ac:dyDescent="0.4">
      <c r="A424" s="7"/>
      <c r="B424" s="7"/>
      <c r="C424" s="7"/>
      <c r="D424" s="7"/>
      <c r="E424" s="7"/>
    </row>
    <row r="425" spans="1:5" ht="15" thickBot="1" x14ac:dyDescent="0.4">
      <c r="A425" s="7"/>
      <c r="B425" s="7"/>
      <c r="C425" s="7"/>
      <c r="D425" s="7"/>
      <c r="E425" s="7"/>
    </row>
    <row r="426" spans="1:5" ht="15" thickBot="1" x14ac:dyDescent="0.4">
      <c r="A426" s="7"/>
      <c r="B426" s="7"/>
      <c r="C426" s="7"/>
      <c r="D426" s="7"/>
      <c r="E426" s="7"/>
    </row>
    <row r="427" spans="1:5" ht="15" thickBot="1" x14ac:dyDescent="0.4">
      <c r="A427" s="7"/>
      <c r="B427" s="7"/>
      <c r="C427" s="7"/>
      <c r="D427" s="7"/>
      <c r="E427" s="7"/>
    </row>
    <row r="428" spans="1:5" ht="15" thickBot="1" x14ac:dyDescent="0.4">
      <c r="A428" s="7"/>
      <c r="B428" s="7"/>
      <c r="C428" s="7"/>
      <c r="D428" s="7"/>
      <c r="E428" s="7"/>
    </row>
    <row r="429" spans="1:5" ht="15" thickBot="1" x14ac:dyDescent="0.4">
      <c r="A429" s="7"/>
      <c r="B429" s="7"/>
      <c r="C429" s="7"/>
      <c r="D429" s="7"/>
      <c r="E429" s="7"/>
    </row>
    <row r="430" spans="1:5" ht="15" thickBot="1" x14ac:dyDescent="0.4">
      <c r="A430" s="7"/>
      <c r="B430" s="7"/>
      <c r="C430" s="7"/>
      <c r="D430" s="7"/>
      <c r="E430" s="7"/>
    </row>
    <row r="431" spans="1:5" ht="15" thickBot="1" x14ac:dyDescent="0.4">
      <c r="A431" s="7"/>
      <c r="B431" s="7"/>
      <c r="C431" s="7"/>
      <c r="D431" s="7"/>
      <c r="E431" s="7"/>
    </row>
    <row r="432" spans="1:5" ht="15" thickBot="1" x14ac:dyDescent="0.4">
      <c r="A432" s="7"/>
      <c r="B432" s="7"/>
      <c r="C432" s="7"/>
      <c r="D432" s="7"/>
      <c r="E432" s="7"/>
    </row>
    <row r="433" spans="1:5" ht="15" thickBot="1" x14ac:dyDescent="0.4">
      <c r="A433" s="7"/>
      <c r="B433" s="7"/>
      <c r="C433" s="7"/>
      <c r="D433" s="7"/>
      <c r="E433" s="7"/>
    </row>
    <row r="434" spans="1:5" ht="15" thickBot="1" x14ac:dyDescent="0.4">
      <c r="A434" s="7"/>
      <c r="B434" s="7"/>
      <c r="C434" s="7"/>
      <c r="D434" s="7"/>
      <c r="E434" s="7"/>
    </row>
    <row r="435" spans="1:5" ht="15" thickBot="1" x14ac:dyDescent="0.4">
      <c r="A435" s="7"/>
      <c r="B435" s="7"/>
      <c r="C435" s="7"/>
      <c r="D435" s="7"/>
      <c r="E435" s="7"/>
    </row>
    <row r="436" spans="1:5" ht="15" thickBot="1" x14ac:dyDescent="0.4">
      <c r="A436" s="7"/>
      <c r="B436" s="7"/>
      <c r="C436" s="7"/>
      <c r="D436" s="7"/>
      <c r="E436" s="7"/>
    </row>
    <row r="437" spans="1:5" ht="15" thickBot="1" x14ac:dyDescent="0.4">
      <c r="A437" s="7"/>
      <c r="B437" s="7"/>
      <c r="C437" s="7"/>
      <c r="D437" s="7"/>
      <c r="E437" s="7"/>
    </row>
    <row r="438" spans="1:5" ht="15" thickBot="1" x14ac:dyDescent="0.4">
      <c r="A438" s="7"/>
      <c r="B438" s="7"/>
      <c r="C438" s="7"/>
      <c r="D438" s="7"/>
      <c r="E438" s="7"/>
    </row>
    <row r="439" spans="1:5" ht="15" thickBot="1" x14ac:dyDescent="0.4">
      <c r="A439" s="7"/>
      <c r="B439" s="7"/>
      <c r="C439" s="7"/>
      <c r="D439" s="7"/>
      <c r="E439" s="7"/>
    </row>
    <row r="440" spans="1:5" ht="15" thickBot="1" x14ac:dyDescent="0.4">
      <c r="A440" s="7"/>
      <c r="B440" s="7"/>
      <c r="C440" s="7"/>
      <c r="D440" s="7"/>
      <c r="E440" s="7"/>
    </row>
    <row r="441" spans="1:5" ht="15" thickBot="1" x14ac:dyDescent="0.4">
      <c r="A441" s="7"/>
      <c r="B441" s="7"/>
      <c r="C441" s="7"/>
      <c r="D441" s="7"/>
      <c r="E441" s="7"/>
    </row>
    <row r="442" spans="1:5" ht="15" thickBot="1" x14ac:dyDescent="0.4">
      <c r="A442" s="7"/>
      <c r="B442" s="7"/>
      <c r="C442" s="7"/>
      <c r="D442" s="7"/>
      <c r="E442" s="7"/>
    </row>
    <row r="443" spans="1:5" ht="15" thickBot="1" x14ac:dyDescent="0.4">
      <c r="A443" s="7"/>
      <c r="B443" s="7"/>
      <c r="C443" s="7"/>
      <c r="D443" s="7"/>
      <c r="E443" s="7"/>
    </row>
    <row r="444" spans="1:5" ht="15" thickBot="1" x14ac:dyDescent="0.4">
      <c r="A444" s="7"/>
      <c r="B444" s="7"/>
      <c r="C444" s="7"/>
      <c r="D444" s="7"/>
      <c r="E444" s="7"/>
    </row>
    <row r="445" spans="1:5" ht="15" thickBot="1" x14ac:dyDescent="0.4">
      <c r="A445" s="7"/>
      <c r="B445" s="7"/>
      <c r="C445" s="7"/>
      <c r="D445" s="7"/>
      <c r="E445" s="7"/>
    </row>
    <row r="446" spans="1:5" ht="15" thickBot="1" x14ac:dyDescent="0.4">
      <c r="A446" s="7"/>
      <c r="B446" s="7"/>
      <c r="C446" s="7"/>
      <c r="D446" s="7"/>
      <c r="E446" s="7"/>
    </row>
    <row r="447" spans="1:5" ht="15" thickBot="1" x14ac:dyDescent="0.4">
      <c r="A447" s="7"/>
      <c r="B447" s="7"/>
      <c r="C447" s="7"/>
      <c r="D447" s="7"/>
      <c r="E447" s="7"/>
    </row>
    <row r="448" spans="1:5" ht="15" thickBot="1" x14ac:dyDescent="0.4">
      <c r="A448" s="7"/>
      <c r="B448" s="7"/>
      <c r="C448" s="7"/>
      <c r="D448" s="7"/>
      <c r="E448" s="7"/>
    </row>
    <row r="449" spans="1:5" ht="15" thickBot="1" x14ac:dyDescent="0.4">
      <c r="A449" s="7"/>
      <c r="B449" s="7"/>
      <c r="C449" s="7"/>
      <c r="D449" s="7"/>
      <c r="E449" s="7"/>
    </row>
    <row r="450" spans="1:5" ht="15" thickBot="1" x14ac:dyDescent="0.4">
      <c r="A450" s="7"/>
      <c r="B450" s="7"/>
      <c r="C450" s="7"/>
      <c r="D450" s="7"/>
      <c r="E450" s="7"/>
    </row>
    <row r="451" spans="1:5" ht="15" thickBot="1" x14ac:dyDescent="0.4">
      <c r="A451" s="7"/>
      <c r="B451" s="7"/>
      <c r="C451" s="7"/>
      <c r="D451" s="7"/>
      <c r="E451" s="7"/>
    </row>
    <row r="452" spans="1:5" ht="15" thickBot="1" x14ac:dyDescent="0.4">
      <c r="A452" s="7"/>
      <c r="B452" s="7"/>
      <c r="C452" s="7"/>
      <c r="D452" s="7"/>
      <c r="E452" s="7"/>
    </row>
    <row r="453" spans="1:5" ht="15" thickBot="1" x14ac:dyDescent="0.4">
      <c r="A453" s="7"/>
      <c r="B453" s="7"/>
      <c r="C453" s="7"/>
      <c r="D453" s="7"/>
      <c r="E453" s="7"/>
    </row>
    <row r="454" spans="1:5" ht="15" thickBot="1" x14ac:dyDescent="0.4">
      <c r="A454" s="7"/>
      <c r="B454" s="7"/>
      <c r="C454" s="7"/>
      <c r="D454" s="7"/>
      <c r="E454" s="7"/>
    </row>
    <row r="455" spans="1:5" ht="15" thickBot="1" x14ac:dyDescent="0.4">
      <c r="A455" s="7"/>
      <c r="B455" s="7"/>
      <c r="C455" s="7"/>
      <c r="D455" s="7"/>
      <c r="E455" s="7"/>
    </row>
    <row r="456" spans="1:5" ht="15" thickBot="1" x14ac:dyDescent="0.4">
      <c r="A456" s="7"/>
      <c r="B456" s="7"/>
      <c r="C456" s="7"/>
      <c r="D456" s="7"/>
      <c r="E456" s="7"/>
    </row>
    <row r="457" spans="1:5" ht="15" thickBot="1" x14ac:dyDescent="0.4">
      <c r="A457" s="7"/>
      <c r="B457" s="7"/>
      <c r="C457" s="7"/>
      <c r="D457" s="7"/>
      <c r="E457" s="7"/>
    </row>
    <row r="458" spans="1:5" ht="15" thickBot="1" x14ac:dyDescent="0.4">
      <c r="A458" s="7"/>
      <c r="B458" s="7"/>
      <c r="C458" s="7"/>
      <c r="D458" s="7"/>
      <c r="E458" s="7"/>
    </row>
    <row r="459" spans="1:5" ht="15" thickBot="1" x14ac:dyDescent="0.4">
      <c r="A459" s="7"/>
      <c r="B459" s="7"/>
      <c r="C459" s="7"/>
      <c r="D459" s="7"/>
      <c r="E459" s="7"/>
    </row>
    <row r="460" spans="1:5" ht="15" thickBot="1" x14ac:dyDescent="0.4">
      <c r="A460" s="7"/>
      <c r="B460" s="7"/>
      <c r="C460" s="7"/>
      <c r="D460" s="7"/>
      <c r="E460" s="7"/>
    </row>
    <row r="461" spans="1:5" ht="15" thickBot="1" x14ac:dyDescent="0.4">
      <c r="A461" s="7"/>
      <c r="B461" s="7"/>
      <c r="C461" s="7"/>
      <c r="D461" s="7"/>
      <c r="E461" s="7"/>
    </row>
    <row r="462" spans="1:5" ht="15" thickBot="1" x14ac:dyDescent="0.4">
      <c r="A462" s="7"/>
      <c r="B462" s="7"/>
      <c r="C462" s="7"/>
      <c r="D462" s="7"/>
      <c r="E462" s="7"/>
    </row>
    <row r="463" spans="1:5" ht="15" thickBot="1" x14ac:dyDescent="0.4">
      <c r="A463" s="7"/>
      <c r="B463" s="7"/>
      <c r="C463" s="7"/>
      <c r="D463" s="7"/>
      <c r="E463" s="7"/>
    </row>
    <row r="464" spans="1:5" ht="15" thickBot="1" x14ac:dyDescent="0.4">
      <c r="A464" s="7"/>
      <c r="B464" s="7"/>
      <c r="C464" s="7"/>
      <c r="D464" s="7"/>
      <c r="E464" s="7"/>
    </row>
    <row r="465" spans="1:5" ht="15" thickBot="1" x14ac:dyDescent="0.4">
      <c r="A465" s="7"/>
      <c r="B465" s="7"/>
      <c r="C465" s="7"/>
      <c r="D465" s="7"/>
      <c r="E465" s="7"/>
    </row>
    <row r="466" spans="1:5" ht="15" thickBot="1" x14ac:dyDescent="0.4">
      <c r="A466" s="7"/>
      <c r="B466" s="7"/>
      <c r="C466" s="7"/>
      <c r="D466" s="7"/>
      <c r="E466" s="7"/>
    </row>
    <row r="467" spans="1:5" ht="15" thickBot="1" x14ac:dyDescent="0.4">
      <c r="A467" s="7"/>
      <c r="B467" s="7"/>
      <c r="C467" s="7"/>
      <c r="D467" s="7"/>
      <c r="E467" s="7"/>
    </row>
    <row r="468" spans="1:5" ht="15" thickBot="1" x14ac:dyDescent="0.4">
      <c r="A468" s="7"/>
      <c r="B468" s="7"/>
      <c r="C468" s="7"/>
      <c r="D468" s="7"/>
      <c r="E468" s="7"/>
    </row>
    <row r="469" spans="1:5" ht="15" thickBot="1" x14ac:dyDescent="0.4">
      <c r="A469" s="7"/>
      <c r="B469" s="7"/>
      <c r="C469" s="7"/>
      <c r="D469" s="7"/>
      <c r="E469" s="7"/>
    </row>
    <row r="470" spans="1:5" ht="15" thickBot="1" x14ac:dyDescent="0.4">
      <c r="A470" s="7"/>
      <c r="B470" s="7"/>
      <c r="C470" s="7"/>
      <c r="D470" s="7"/>
      <c r="E470" s="7"/>
    </row>
    <row r="471" spans="1:5" ht="15" thickBot="1" x14ac:dyDescent="0.4">
      <c r="A471" s="7"/>
      <c r="B471" s="7"/>
      <c r="C471" s="7"/>
      <c r="D471" s="7"/>
      <c r="E471" s="7"/>
    </row>
    <row r="472" spans="1:5" ht="15" thickBot="1" x14ac:dyDescent="0.4">
      <c r="A472" s="7"/>
      <c r="B472" s="7"/>
      <c r="C472" s="7"/>
      <c r="D472" s="7"/>
      <c r="E472" s="7"/>
    </row>
    <row r="473" spans="1:5" ht="15" thickBot="1" x14ac:dyDescent="0.4">
      <c r="A473" s="7"/>
      <c r="B473" s="7"/>
      <c r="C473" s="7"/>
      <c r="D473" s="7"/>
      <c r="E473" s="7"/>
    </row>
    <row r="474" spans="1:5" ht="15" thickBot="1" x14ac:dyDescent="0.4">
      <c r="A474" s="7"/>
      <c r="B474" s="7"/>
      <c r="C474" s="7"/>
      <c r="D474" s="7"/>
      <c r="E474" s="7"/>
    </row>
    <row r="475" spans="1:5" ht="15" thickBot="1" x14ac:dyDescent="0.4">
      <c r="A475" s="7"/>
      <c r="B475" s="7"/>
      <c r="C475" s="7"/>
      <c r="D475" s="7"/>
      <c r="E475" s="7"/>
    </row>
    <row r="476" spans="1:5" ht="15" thickBot="1" x14ac:dyDescent="0.4">
      <c r="A476" s="7"/>
      <c r="B476" s="7"/>
      <c r="C476" s="7"/>
      <c r="D476" s="7"/>
      <c r="E476" s="7"/>
    </row>
    <row r="477" spans="1:5" ht="15" thickBot="1" x14ac:dyDescent="0.4">
      <c r="A477" s="7"/>
      <c r="B477" s="7"/>
      <c r="C477" s="7"/>
      <c r="D477" s="7"/>
      <c r="E477" s="7"/>
    </row>
    <row r="478" spans="1:5" ht="15" thickBot="1" x14ac:dyDescent="0.4">
      <c r="A478" s="7"/>
      <c r="B478" s="7"/>
      <c r="C478" s="7"/>
      <c r="D478" s="7"/>
      <c r="E478" s="7"/>
    </row>
    <row r="479" spans="1:5" ht="15" thickBot="1" x14ac:dyDescent="0.4">
      <c r="A479" s="7"/>
      <c r="B479" s="7"/>
      <c r="C479" s="7"/>
      <c r="D479" s="7"/>
      <c r="E479" s="7"/>
    </row>
    <row r="480" spans="1:5" ht="15" thickBot="1" x14ac:dyDescent="0.4">
      <c r="A480" s="7"/>
      <c r="B480" s="7"/>
      <c r="C480" s="7"/>
      <c r="D480" s="7"/>
      <c r="E480" s="7"/>
    </row>
    <row r="481" spans="1:5" ht="15" thickBot="1" x14ac:dyDescent="0.4">
      <c r="A481" s="7"/>
      <c r="B481" s="7"/>
      <c r="C481" s="7"/>
      <c r="D481" s="7"/>
      <c r="E481" s="7"/>
    </row>
    <row r="482" spans="1:5" ht="15" thickBot="1" x14ac:dyDescent="0.4">
      <c r="A482" s="7"/>
      <c r="B482" s="7"/>
      <c r="C482" s="7"/>
      <c r="D482" s="7"/>
      <c r="E482" s="7"/>
    </row>
    <row r="483" spans="1:5" ht="15" thickBot="1" x14ac:dyDescent="0.4">
      <c r="A483" s="7"/>
      <c r="B483" s="7"/>
      <c r="C483" s="7"/>
      <c r="D483" s="7"/>
      <c r="E483" s="7"/>
    </row>
    <row r="484" spans="1:5" ht="15" thickBot="1" x14ac:dyDescent="0.4">
      <c r="A484" s="7"/>
      <c r="B484" s="7"/>
      <c r="C484" s="7"/>
      <c r="D484" s="7"/>
      <c r="E484" s="7"/>
    </row>
    <row r="485" spans="1:5" ht="15" thickBot="1" x14ac:dyDescent="0.4">
      <c r="A485" s="7"/>
      <c r="B485" s="7"/>
      <c r="C485" s="7"/>
      <c r="D485" s="7"/>
      <c r="E485" s="7"/>
    </row>
    <row r="486" spans="1:5" ht="15" thickBot="1" x14ac:dyDescent="0.4">
      <c r="A486" s="7"/>
      <c r="B486" s="7"/>
      <c r="C486" s="7"/>
      <c r="D486" s="7"/>
      <c r="E486" s="7"/>
    </row>
    <row r="487" spans="1:5" ht="15" thickBot="1" x14ac:dyDescent="0.4">
      <c r="A487" s="7"/>
      <c r="B487" s="7"/>
      <c r="C487" s="7"/>
      <c r="D487" s="7"/>
      <c r="E487" s="7"/>
    </row>
    <row r="488" spans="1:5" ht="15" thickBot="1" x14ac:dyDescent="0.4">
      <c r="A488" s="7"/>
      <c r="B488" s="7"/>
      <c r="C488" s="7"/>
      <c r="D488" s="7"/>
      <c r="E488" s="7"/>
    </row>
    <row r="489" spans="1:5" ht="15" thickBot="1" x14ac:dyDescent="0.4">
      <c r="A489" s="7"/>
      <c r="B489" s="7"/>
      <c r="C489" s="7"/>
      <c r="D489" s="7"/>
      <c r="E489" s="7"/>
    </row>
    <row r="490" spans="1:5" ht="15" thickBot="1" x14ac:dyDescent="0.4">
      <c r="A490" s="7"/>
      <c r="B490" s="7"/>
      <c r="C490" s="7"/>
      <c r="D490" s="7"/>
      <c r="E490" s="7"/>
    </row>
    <row r="491" spans="1:5" ht="15" thickBot="1" x14ac:dyDescent="0.4">
      <c r="A491" s="7"/>
      <c r="B491" s="7"/>
      <c r="C491" s="7"/>
      <c r="D491" s="7"/>
      <c r="E491" s="7"/>
    </row>
    <row r="492" spans="1:5" ht="15" thickBot="1" x14ac:dyDescent="0.4">
      <c r="A492" s="7"/>
      <c r="B492" s="7"/>
      <c r="C492" s="7"/>
      <c r="D492" s="7"/>
      <c r="E492" s="7"/>
    </row>
    <row r="493" spans="1:5" ht="15" thickBot="1" x14ac:dyDescent="0.4">
      <c r="A493" s="7"/>
      <c r="B493" s="7"/>
      <c r="C493" s="7"/>
      <c r="D493" s="7"/>
      <c r="E493" s="7"/>
    </row>
    <row r="494" spans="1:5" ht="15" thickBot="1" x14ac:dyDescent="0.4">
      <c r="A494" s="7"/>
      <c r="B494" s="7"/>
      <c r="C494" s="7"/>
      <c r="D494" s="7"/>
      <c r="E494" s="7"/>
    </row>
    <row r="495" spans="1:5" ht="15" thickBot="1" x14ac:dyDescent="0.4">
      <c r="A495" s="7"/>
      <c r="B495" s="7"/>
      <c r="C495" s="7"/>
      <c r="D495" s="7"/>
      <c r="E495" s="7"/>
    </row>
    <row r="496" spans="1:5" ht="15" thickBot="1" x14ac:dyDescent="0.4">
      <c r="A496" s="7"/>
      <c r="B496" s="7"/>
      <c r="C496" s="7"/>
      <c r="D496" s="7"/>
      <c r="E496" s="7"/>
    </row>
    <row r="497" spans="1:5" ht="15" thickBot="1" x14ac:dyDescent="0.4">
      <c r="A497" s="7"/>
      <c r="B497" s="7"/>
      <c r="C497" s="7"/>
      <c r="D497" s="7"/>
      <c r="E497" s="7"/>
    </row>
    <row r="498" spans="1:5" ht="15" thickBot="1" x14ac:dyDescent="0.4">
      <c r="A498" s="7"/>
      <c r="B498" s="7"/>
      <c r="C498" s="7"/>
      <c r="D498" s="7"/>
      <c r="E498" s="7"/>
    </row>
    <row r="499" spans="1:5" ht="15" thickBot="1" x14ac:dyDescent="0.4">
      <c r="A499" s="7"/>
      <c r="B499" s="7"/>
      <c r="C499" s="7"/>
      <c r="D499" s="7"/>
      <c r="E499" s="7"/>
    </row>
    <row r="500" spans="1:5" ht="15" thickBot="1" x14ac:dyDescent="0.4">
      <c r="A500" s="7"/>
      <c r="B500" s="7"/>
      <c r="C500" s="7"/>
      <c r="D500" s="7"/>
      <c r="E500" s="7"/>
    </row>
    <row r="501" spans="1:5" ht="15" thickBot="1" x14ac:dyDescent="0.4">
      <c r="A501" s="7"/>
      <c r="B501" s="7"/>
      <c r="C501" s="7"/>
      <c r="D501" s="7"/>
      <c r="E501" s="7"/>
    </row>
    <row r="502" spans="1:5" ht="15" thickBot="1" x14ac:dyDescent="0.4">
      <c r="A502" s="7"/>
      <c r="B502" s="7"/>
      <c r="C502" s="7"/>
      <c r="D502" s="7"/>
      <c r="E502" s="7"/>
    </row>
    <row r="503" spans="1:5" ht="15" thickBot="1" x14ac:dyDescent="0.4">
      <c r="A503" s="7"/>
      <c r="B503" s="7"/>
      <c r="C503" s="7"/>
      <c r="D503" s="7"/>
      <c r="E503" s="7"/>
    </row>
    <row r="504" spans="1:5" ht="15" thickBot="1" x14ac:dyDescent="0.4">
      <c r="A504" s="7"/>
      <c r="B504" s="7"/>
      <c r="C504" s="7"/>
      <c r="D504" s="7"/>
      <c r="E504" s="7"/>
    </row>
    <row r="505" spans="1:5" ht="15" thickBot="1" x14ac:dyDescent="0.4">
      <c r="A505" s="7"/>
      <c r="B505" s="7"/>
      <c r="C505" s="7"/>
      <c r="D505" s="7"/>
      <c r="E505" s="7"/>
    </row>
    <row r="506" spans="1:5" ht="15" thickBot="1" x14ac:dyDescent="0.4">
      <c r="A506" s="7"/>
      <c r="B506" s="7"/>
      <c r="C506" s="7"/>
      <c r="D506" s="7"/>
      <c r="E506" s="7"/>
    </row>
    <row r="507" spans="1:5" ht="15" thickBot="1" x14ac:dyDescent="0.4">
      <c r="A507" s="7"/>
      <c r="B507" s="7"/>
      <c r="C507" s="7"/>
      <c r="D507" s="7"/>
      <c r="E507" s="7"/>
    </row>
    <row r="508" spans="1:5" ht="15" thickBot="1" x14ac:dyDescent="0.4">
      <c r="A508" s="7"/>
      <c r="B508" s="7"/>
      <c r="C508" s="7"/>
      <c r="D508" s="7"/>
      <c r="E508" s="7"/>
    </row>
    <row r="509" spans="1:5" ht="15" thickBot="1" x14ac:dyDescent="0.4">
      <c r="A509" s="7"/>
      <c r="B509" s="7"/>
      <c r="C509" s="7"/>
      <c r="D509" s="7"/>
      <c r="E509" s="7"/>
    </row>
    <row r="510" spans="1:5" ht="15" thickBot="1" x14ac:dyDescent="0.4">
      <c r="A510" s="7"/>
      <c r="B510" s="7"/>
      <c r="C510" s="7"/>
      <c r="D510" s="7"/>
      <c r="E510" s="7"/>
    </row>
    <row r="511" spans="1:5" ht="15" thickBot="1" x14ac:dyDescent="0.4">
      <c r="A511" s="7"/>
      <c r="B511" s="7"/>
      <c r="C511" s="7"/>
      <c r="D511" s="7"/>
      <c r="E511" s="7"/>
    </row>
    <row r="512" spans="1:5" ht="15" thickBot="1" x14ac:dyDescent="0.4">
      <c r="A512" s="7"/>
      <c r="B512" s="7"/>
      <c r="C512" s="7"/>
      <c r="D512" s="7"/>
      <c r="E512" s="7"/>
    </row>
    <row r="513" spans="1:5" ht="15" thickBot="1" x14ac:dyDescent="0.4">
      <c r="A513" s="7"/>
      <c r="B513" s="7"/>
      <c r="C513" s="7"/>
      <c r="D513" s="7"/>
      <c r="E513" s="7"/>
    </row>
    <row r="514" spans="1:5" ht="15" thickBot="1" x14ac:dyDescent="0.4">
      <c r="A514" s="7"/>
      <c r="B514" s="7"/>
      <c r="C514" s="7"/>
      <c r="D514" s="7"/>
      <c r="E514" s="7"/>
    </row>
    <row r="515" spans="1:5" ht="15" thickBot="1" x14ac:dyDescent="0.4">
      <c r="A515" s="7"/>
      <c r="B515" s="7"/>
      <c r="C515" s="7"/>
      <c r="D515" s="7"/>
      <c r="E515" s="7"/>
    </row>
    <row r="516" spans="1:5" ht="15" thickBot="1" x14ac:dyDescent="0.4">
      <c r="A516" s="7"/>
      <c r="B516" s="7"/>
      <c r="C516" s="7"/>
      <c r="D516" s="7"/>
      <c r="E516" s="7"/>
    </row>
    <row r="517" spans="1:5" ht="15" thickBot="1" x14ac:dyDescent="0.4">
      <c r="A517" s="7"/>
      <c r="B517" s="7"/>
      <c r="C517" s="7"/>
      <c r="D517" s="7"/>
      <c r="E517" s="7"/>
    </row>
    <row r="518" spans="1:5" ht="15" thickBot="1" x14ac:dyDescent="0.4">
      <c r="A518" s="7"/>
      <c r="B518" s="7"/>
      <c r="C518" s="7"/>
      <c r="D518" s="7"/>
      <c r="E518" s="7"/>
    </row>
    <row r="519" spans="1:5" ht="15" thickBot="1" x14ac:dyDescent="0.4">
      <c r="A519" s="7"/>
      <c r="B519" s="7"/>
      <c r="C519" s="7"/>
      <c r="D519" s="7"/>
      <c r="E519" s="7"/>
    </row>
    <row r="520" spans="1:5" ht="15" thickBot="1" x14ac:dyDescent="0.4">
      <c r="A520" s="7"/>
      <c r="B520" s="7"/>
      <c r="C520" s="7"/>
      <c r="D520" s="7"/>
      <c r="E520" s="7"/>
    </row>
    <row r="521" spans="1:5" ht="15" thickBot="1" x14ac:dyDescent="0.4">
      <c r="A521" s="7"/>
      <c r="B521" s="7"/>
      <c r="C521" s="7"/>
      <c r="D521" s="7"/>
      <c r="E521" s="7"/>
    </row>
    <row r="522" spans="1:5" ht="15" thickBot="1" x14ac:dyDescent="0.4">
      <c r="A522" s="7"/>
      <c r="B522" s="7"/>
      <c r="C522" s="7"/>
      <c r="D522" s="7"/>
      <c r="E522" s="7"/>
    </row>
    <row r="523" spans="1:5" ht="15" thickBot="1" x14ac:dyDescent="0.4">
      <c r="A523" s="7"/>
      <c r="B523" s="7"/>
      <c r="C523" s="7"/>
      <c r="D523" s="7"/>
      <c r="E523" s="7"/>
    </row>
    <row r="524" spans="1:5" ht="15" thickBot="1" x14ac:dyDescent="0.4">
      <c r="A524" s="7"/>
      <c r="B524" s="7"/>
      <c r="C524" s="7"/>
      <c r="D524" s="7"/>
      <c r="E524" s="7"/>
    </row>
    <row r="525" spans="1:5" ht="15" thickBot="1" x14ac:dyDescent="0.4">
      <c r="A525" s="7"/>
      <c r="B525" s="7"/>
      <c r="C525" s="7"/>
      <c r="D525" s="7"/>
      <c r="E525" s="7"/>
    </row>
    <row r="526" spans="1:5" ht="15" thickBot="1" x14ac:dyDescent="0.4">
      <c r="A526" s="7"/>
      <c r="B526" s="7"/>
      <c r="C526" s="7"/>
      <c r="D526" s="7"/>
      <c r="E526" s="7"/>
    </row>
    <row r="527" spans="1:5" ht="15" thickBot="1" x14ac:dyDescent="0.4">
      <c r="A527" s="7"/>
      <c r="B527" s="7"/>
      <c r="C527" s="7"/>
      <c r="D527" s="7"/>
      <c r="E527" s="7"/>
    </row>
    <row r="528" spans="1:5" ht="15" thickBot="1" x14ac:dyDescent="0.4">
      <c r="A528" s="7"/>
      <c r="B528" s="7"/>
      <c r="C528" s="7"/>
      <c r="D528" s="7"/>
      <c r="E528" s="7"/>
    </row>
    <row r="529" spans="1:5" ht="15" thickBot="1" x14ac:dyDescent="0.4">
      <c r="A529" s="7"/>
      <c r="B529" s="7"/>
      <c r="C529" s="7"/>
      <c r="D529" s="7"/>
      <c r="E529" s="7"/>
    </row>
    <row r="530" spans="1:5" ht="15" thickBot="1" x14ac:dyDescent="0.4">
      <c r="A530" s="7"/>
      <c r="B530" s="7"/>
      <c r="C530" s="7"/>
      <c r="D530" s="7"/>
      <c r="E530" s="7"/>
    </row>
    <row r="531" spans="1:5" ht="15" thickBot="1" x14ac:dyDescent="0.4">
      <c r="A531" s="7"/>
      <c r="B531" s="7"/>
      <c r="C531" s="7"/>
      <c r="D531" s="7"/>
      <c r="E531" s="7"/>
    </row>
    <row r="532" spans="1:5" ht="15" thickBot="1" x14ac:dyDescent="0.4">
      <c r="A532" s="7"/>
      <c r="B532" s="7"/>
      <c r="C532" s="7"/>
      <c r="D532" s="7"/>
      <c r="E532" s="7"/>
    </row>
    <row r="533" spans="1:5" ht="15" thickBot="1" x14ac:dyDescent="0.4">
      <c r="A533" s="7"/>
      <c r="B533" s="7"/>
      <c r="C533" s="7"/>
      <c r="D533" s="7"/>
      <c r="E533" s="7"/>
    </row>
    <row r="534" spans="1:5" ht="15" thickBot="1" x14ac:dyDescent="0.4">
      <c r="A534" s="7"/>
      <c r="B534" s="7"/>
      <c r="C534" s="7"/>
      <c r="D534" s="7"/>
      <c r="E534" s="7"/>
    </row>
    <row r="535" spans="1:5" ht="15" thickBot="1" x14ac:dyDescent="0.4">
      <c r="A535" s="7"/>
      <c r="B535" s="7"/>
      <c r="C535" s="7"/>
      <c r="D535" s="7"/>
      <c r="E535" s="7"/>
    </row>
    <row r="536" spans="1:5" ht="15" thickBot="1" x14ac:dyDescent="0.4">
      <c r="A536" s="7"/>
      <c r="B536" s="7"/>
      <c r="C536" s="7"/>
      <c r="D536" s="7"/>
      <c r="E536" s="7"/>
    </row>
    <row r="537" spans="1:5" ht="15" thickBot="1" x14ac:dyDescent="0.4">
      <c r="A537" s="7"/>
      <c r="B537" s="7"/>
      <c r="C537" s="7"/>
      <c r="D537" s="7"/>
      <c r="E537" s="7"/>
    </row>
    <row r="538" spans="1:5" ht="15" thickBot="1" x14ac:dyDescent="0.4">
      <c r="A538" s="7"/>
      <c r="B538" s="7"/>
      <c r="C538" s="7"/>
      <c r="D538" s="7"/>
      <c r="E538" s="7"/>
    </row>
    <row r="539" spans="1:5" ht="15" thickBot="1" x14ac:dyDescent="0.4">
      <c r="A539" s="7"/>
      <c r="B539" s="7"/>
      <c r="C539" s="7"/>
      <c r="D539" s="7"/>
      <c r="E539" s="7"/>
    </row>
    <row r="540" spans="1:5" ht="15" thickBot="1" x14ac:dyDescent="0.4">
      <c r="A540" s="7"/>
      <c r="B540" s="7"/>
      <c r="C540" s="7"/>
      <c r="D540" s="7"/>
      <c r="E540" s="7"/>
    </row>
    <row r="541" spans="1:5" ht="15" thickBot="1" x14ac:dyDescent="0.4">
      <c r="A541" s="7"/>
      <c r="B541" s="7"/>
      <c r="C541" s="7"/>
      <c r="D541" s="7"/>
      <c r="E541" s="7"/>
    </row>
    <row r="542" spans="1:5" ht="15" thickBot="1" x14ac:dyDescent="0.4">
      <c r="A542" s="7"/>
      <c r="B542" s="7"/>
      <c r="C542" s="7"/>
      <c r="D542" s="7"/>
      <c r="E542" s="7"/>
    </row>
    <row r="543" spans="1:5" ht="15" thickBot="1" x14ac:dyDescent="0.4">
      <c r="A543" s="7"/>
      <c r="B543" s="7"/>
      <c r="C543" s="7"/>
      <c r="D543" s="7"/>
      <c r="E543" s="7"/>
    </row>
    <row r="544" spans="1:5" ht="15" thickBot="1" x14ac:dyDescent="0.4">
      <c r="A544" s="7"/>
      <c r="B544" s="7"/>
      <c r="C544" s="7"/>
      <c r="D544" s="7"/>
      <c r="E544" s="7"/>
    </row>
    <row r="545" spans="1:5" ht="15" thickBot="1" x14ac:dyDescent="0.4">
      <c r="A545" s="7"/>
      <c r="B545" s="7"/>
      <c r="C545" s="7"/>
      <c r="D545" s="7"/>
      <c r="E545" s="7"/>
    </row>
    <row r="546" spans="1:5" ht="15" thickBot="1" x14ac:dyDescent="0.4">
      <c r="A546" s="7"/>
      <c r="B546" s="7"/>
      <c r="C546" s="7"/>
      <c r="D546" s="7"/>
      <c r="E546" s="7"/>
    </row>
    <row r="547" spans="1:5" ht="15" thickBot="1" x14ac:dyDescent="0.4">
      <c r="A547" s="7"/>
      <c r="B547" s="7"/>
      <c r="C547" s="7"/>
      <c r="D547" s="7"/>
      <c r="E547" s="7"/>
    </row>
    <row r="548" spans="1:5" ht="15" thickBot="1" x14ac:dyDescent="0.4">
      <c r="A548" s="7"/>
      <c r="B548" s="7"/>
      <c r="C548" s="7"/>
      <c r="D548" s="7"/>
      <c r="E548" s="7"/>
    </row>
    <row r="549" spans="1:5" ht="15" thickBot="1" x14ac:dyDescent="0.4">
      <c r="A549" s="7"/>
      <c r="B549" s="7"/>
      <c r="C549" s="7"/>
      <c r="D549" s="7"/>
      <c r="E549" s="7"/>
    </row>
    <row r="550" spans="1:5" ht="15" thickBot="1" x14ac:dyDescent="0.4">
      <c r="A550" s="7"/>
      <c r="B550" s="7"/>
      <c r="C550" s="7"/>
      <c r="D550" s="7"/>
      <c r="E550" s="7"/>
    </row>
    <row r="551" spans="1:5" ht="15" thickBot="1" x14ac:dyDescent="0.4">
      <c r="A551" s="7"/>
      <c r="B551" s="7"/>
      <c r="C551" s="7"/>
      <c r="D551" s="7"/>
      <c r="E551" s="7"/>
    </row>
    <row r="552" spans="1:5" ht="15" thickBot="1" x14ac:dyDescent="0.4">
      <c r="A552" s="7"/>
      <c r="B552" s="7"/>
      <c r="C552" s="7"/>
      <c r="D552" s="7"/>
      <c r="E552" s="7"/>
    </row>
    <row r="553" spans="1:5" ht="15" thickBot="1" x14ac:dyDescent="0.4">
      <c r="A553" s="7"/>
      <c r="B553" s="7"/>
      <c r="C553" s="7"/>
      <c r="D553" s="7"/>
      <c r="E553" s="7"/>
    </row>
    <row r="554" spans="1:5" ht="15" thickBot="1" x14ac:dyDescent="0.4">
      <c r="A554" s="7"/>
      <c r="B554" s="7"/>
      <c r="C554" s="7"/>
      <c r="D554" s="7"/>
      <c r="E554" s="7"/>
    </row>
    <row r="555" spans="1:5" ht="15" thickBot="1" x14ac:dyDescent="0.4">
      <c r="A555" s="7"/>
      <c r="B555" s="7"/>
      <c r="C555" s="7"/>
      <c r="D555" s="7"/>
      <c r="E555" s="7"/>
    </row>
    <row r="556" spans="1:5" ht="15" thickBot="1" x14ac:dyDescent="0.4">
      <c r="A556" s="7"/>
      <c r="B556" s="7"/>
      <c r="C556" s="7"/>
      <c r="D556" s="7"/>
      <c r="E556" s="7"/>
    </row>
    <row r="557" spans="1:5" ht="15" thickBot="1" x14ac:dyDescent="0.4">
      <c r="A557" s="7"/>
      <c r="B557" s="7"/>
      <c r="C557" s="7"/>
      <c r="D557" s="7"/>
      <c r="E557" s="7"/>
    </row>
    <row r="558" spans="1:5" ht="15" thickBot="1" x14ac:dyDescent="0.4">
      <c r="A558" s="7"/>
      <c r="B558" s="7"/>
      <c r="C558" s="7"/>
      <c r="D558" s="7"/>
      <c r="E558" s="7"/>
    </row>
    <row r="559" spans="1:5" ht="15" thickBot="1" x14ac:dyDescent="0.4">
      <c r="A559" s="7"/>
      <c r="B559" s="7"/>
      <c r="C559" s="7"/>
      <c r="D559" s="7"/>
      <c r="E559" s="7"/>
    </row>
    <row r="560" spans="1:5" ht="15" thickBot="1" x14ac:dyDescent="0.4">
      <c r="A560" s="7"/>
      <c r="B560" s="7"/>
      <c r="C560" s="7"/>
      <c r="D560" s="7"/>
      <c r="E560" s="7"/>
    </row>
    <row r="561" spans="1:5" ht="15" thickBot="1" x14ac:dyDescent="0.4">
      <c r="A561" s="7"/>
      <c r="B561" s="7"/>
      <c r="C561" s="7"/>
      <c r="D561" s="7"/>
      <c r="E561" s="7"/>
    </row>
    <row r="562" spans="1:5" ht="15" thickBot="1" x14ac:dyDescent="0.4">
      <c r="A562" s="7"/>
      <c r="B562" s="7"/>
      <c r="C562" s="7"/>
      <c r="D562" s="7"/>
      <c r="E562" s="7"/>
    </row>
    <row r="563" spans="1:5" ht="15" thickBot="1" x14ac:dyDescent="0.4">
      <c r="A563" s="7"/>
      <c r="B563" s="7"/>
      <c r="C563" s="7"/>
      <c r="D563" s="7"/>
      <c r="E563" s="7"/>
    </row>
    <row r="564" spans="1:5" ht="15" thickBot="1" x14ac:dyDescent="0.4">
      <c r="A564" s="7"/>
      <c r="B564" s="7"/>
      <c r="C564" s="7"/>
      <c r="D564" s="7"/>
      <c r="E564" s="7"/>
    </row>
    <row r="565" spans="1:5" ht="15" thickBot="1" x14ac:dyDescent="0.4">
      <c r="A565" s="7"/>
      <c r="B565" s="7"/>
      <c r="C565" s="7"/>
      <c r="D565" s="7"/>
      <c r="E565" s="7"/>
    </row>
    <row r="566" spans="1:5" ht="15" thickBot="1" x14ac:dyDescent="0.4">
      <c r="A566" s="7"/>
      <c r="B566" s="7"/>
      <c r="C566" s="7"/>
      <c r="D566" s="7"/>
      <c r="E566" s="7"/>
    </row>
    <row r="567" spans="1:5" ht="15" thickBot="1" x14ac:dyDescent="0.4">
      <c r="A567" s="7"/>
      <c r="B567" s="7"/>
      <c r="C567" s="7"/>
      <c r="D567" s="7"/>
      <c r="E567" s="7"/>
    </row>
    <row r="568" spans="1:5" ht="15" thickBot="1" x14ac:dyDescent="0.4">
      <c r="A568" s="7"/>
      <c r="B568" s="7"/>
      <c r="C568" s="7"/>
      <c r="D568" s="7"/>
      <c r="E568" s="7"/>
    </row>
    <row r="569" spans="1:5" ht="15" thickBot="1" x14ac:dyDescent="0.4">
      <c r="A569" s="7"/>
      <c r="B569" s="7"/>
      <c r="C569" s="7"/>
      <c r="D569" s="7"/>
      <c r="E569" s="7"/>
    </row>
    <row r="570" spans="1:5" ht="15" thickBot="1" x14ac:dyDescent="0.4">
      <c r="A570" s="7"/>
      <c r="B570" s="7"/>
      <c r="C570" s="7"/>
      <c r="D570" s="7"/>
      <c r="E570" s="7"/>
    </row>
    <row r="571" spans="1:5" ht="15" thickBot="1" x14ac:dyDescent="0.4">
      <c r="A571" s="7"/>
      <c r="B571" s="7"/>
      <c r="C571" s="7"/>
      <c r="D571" s="7"/>
      <c r="E571" s="7"/>
    </row>
    <row r="572" spans="1:5" ht="15" thickBot="1" x14ac:dyDescent="0.4">
      <c r="A572" s="7"/>
      <c r="B572" s="7"/>
      <c r="C572" s="7"/>
      <c r="D572" s="7"/>
      <c r="E572" s="7"/>
    </row>
    <row r="573" spans="1:5" ht="15" thickBot="1" x14ac:dyDescent="0.4">
      <c r="A573" s="7"/>
      <c r="B573" s="7"/>
      <c r="C573" s="7"/>
      <c r="D573" s="7"/>
      <c r="E573" s="7"/>
    </row>
    <row r="574" spans="1:5" ht="15" thickBot="1" x14ac:dyDescent="0.4">
      <c r="A574" s="7"/>
      <c r="B574" s="7"/>
      <c r="C574" s="7"/>
      <c r="D574" s="7"/>
      <c r="E574" s="7"/>
    </row>
    <row r="575" spans="1:5" ht="15" thickBot="1" x14ac:dyDescent="0.4">
      <c r="A575" s="7"/>
      <c r="B575" s="7"/>
      <c r="C575" s="7"/>
      <c r="D575" s="7"/>
      <c r="E575" s="7"/>
    </row>
    <row r="576" spans="1:5" ht="15" thickBot="1" x14ac:dyDescent="0.4">
      <c r="A576" s="7"/>
      <c r="B576" s="7"/>
      <c r="C576" s="7"/>
      <c r="D576" s="7"/>
      <c r="E576" s="7"/>
    </row>
    <row r="577" spans="1:5" ht="15" thickBot="1" x14ac:dyDescent="0.4">
      <c r="A577" s="7"/>
      <c r="B577" s="7"/>
      <c r="C577" s="7"/>
      <c r="D577" s="7"/>
      <c r="E577" s="7"/>
    </row>
    <row r="578" spans="1:5" ht="15" thickBot="1" x14ac:dyDescent="0.4">
      <c r="A578" s="7"/>
      <c r="B578" s="7"/>
      <c r="C578" s="7"/>
      <c r="D578" s="7"/>
      <c r="E578" s="7"/>
    </row>
    <row r="579" spans="1:5" ht="15" thickBot="1" x14ac:dyDescent="0.4">
      <c r="A579" s="7"/>
      <c r="B579" s="7"/>
      <c r="C579" s="7"/>
      <c r="D579" s="7"/>
      <c r="E579" s="7"/>
    </row>
    <row r="580" spans="1:5" ht="15" thickBot="1" x14ac:dyDescent="0.4">
      <c r="A580" s="7"/>
      <c r="B580" s="7"/>
      <c r="C580" s="7"/>
      <c r="D580" s="7"/>
      <c r="E580" s="7"/>
    </row>
    <row r="581" spans="1:5" ht="15" thickBot="1" x14ac:dyDescent="0.4">
      <c r="A581" s="7"/>
      <c r="B581" s="7"/>
      <c r="C581" s="7"/>
      <c r="D581" s="7"/>
      <c r="E581" s="7"/>
    </row>
    <row r="582" spans="1:5" ht="15" thickBot="1" x14ac:dyDescent="0.4">
      <c r="A582" s="7"/>
      <c r="B582" s="7"/>
      <c r="C582" s="7"/>
      <c r="D582" s="7"/>
      <c r="E582" s="7"/>
    </row>
    <row r="583" spans="1:5" ht="15" thickBot="1" x14ac:dyDescent="0.4">
      <c r="A583" s="7"/>
      <c r="B583" s="7"/>
      <c r="C583" s="7"/>
      <c r="D583" s="7"/>
      <c r="E583" s="7"/>
    </row>
    <row r="584" spans="1:5" ht="15" thickBot="1" x14ac:dyDescent="0.4">
      <c r="A584" s="7"/>
      <c r="B584" s="7"/>
      <c r="C584" s="7"/>
      <c r="D584" s="7"/>
      <c r="E584" s="7"/>
    </row>
    <row r="585" spans="1:5" ht="15" thickBot="1" x14ac:dyDescent="0.4">
      <c r="A585" s="7"/>
      <c r="B585" s="7"/>
      <c r="C585" s="7"/>
      <c r="D585" s="7"/>
      <c r="E585" s="7"/>
    </row>
    <row r="586" spans="1:5" ht="15" thickBot="1" x14ac:dyDescent="0.4">
      <c r="A586" s="7"/>
      <c r="B586" s="7"/>
      <c r="C586" s="7"/>
      <c r="D586" s="7"/>
      <c r="E586" s="7"/>
    </row>
    <row r="587" spans="1:5" ht="15" thickBot="1" x14ac:dyDescent="0.4">
      <c r="A587" s="7"/>
      <c r="B587" s="7"/>
      <c r="C587" s="7"/>
      <c r="D587" s="7"/>
      <c r="E587" s="7"/>
    </row>
    <row r="588" spans="1:5" ht="15" thickBot="1" x14ac:dyDescent="0.4">
      <c r="A588" s="7"/>
      <c r="B588" s="7"/>
      <c r="C588" s="7"/>
      <c r="D588" s="7"/>
      <c r="E588" s="7"/>
    </row>
    <row r="589" spans="1:5" ht="15" thickBot="1" x14ac:dyDescent="0.4">
      <c r="A589" s="7"/>
      <c r="B589" s="7"/>
      <c r="C589" s="7"/>
      <c r="D589" s="7"/>
      <c r="E589" s="7"/>
    </row>
    <row r="590" spans="1:5" ht="15" thickBot="1" x14ac:dyDescent="0.4">
      <c r="A590" s="7"/>
      <c r="B590" s="7"/>
      <c r="C590" s="7"/>
      <c r="D590" s="7"/>
      <c r="E590" s="7"/>
    </row>
    <row r="591" spans="1:5" ht="15" thickBot="1" x14ac:dyDescent="0.4">
      <c r="A591" s="7"/>
      <c r="B591" s="7"/>
      <c r="C591" s="7"/>
      <c r="D591" s="7"/>
      <c r="E591" s="7"/>
    </row>
    <row r="592" spans="1:5" ht="15" thickBot="1" x14ac:dyDescent="0.4">
      <c r="A592" s="7"/>
      <c r="B592" s="7"/>
      <c r="C592" s="7"/>
      <c r="D592" s="7"/>
      <c r="E592" s="7"/>
    </row>
    <row r="593" spans="1:5" ht="15" thickBot="1" x14ac:dyDescent="0.4">
      <c r="A593" s="7"/>
      <c r="B593" s="7"/>
      <c r="C593" s="7"/>
      <c r="D593" s="7"/>
      <c r="E593" s="7"/>
    </row>
    <row r="594" spans="1:5" ht="15" thickBot="1" x14ac:dyDescent="0.4">
      <c r="A594" s="7"/>
      <c r="B594" s="7"/>
      <c r="C594" s="7"/>
      <c r="D594" s="7"/>
      <c r="E594" s="7"/>
    </row>
    <row r="595" spans="1:5" ht="15" thickBot="1" x14ac:dyDescent="0.4">
      <c r="A595" s="7"/>
      <c r="B595" s="7"/>
      <c r="C595" s="7"/>
      <c r="D595" s="7"/>
      <c r="E595" s="7"/>
    </row>
    <row r="596" spans="1:5" ht="15" thickBot="1" x14ac:dyDescent="0.4">
      <c r="A596" s="7"/>
      <c r="B596" s="7"/>
      <c r="C596" s="7"/>
      <c r="D596" s="7"/>
      <c r="E596" s="7"/>
    </row>
    <row r="597" spans="1:5" ht="15" thickBot="1" x14ac:dyDescent="0.4">
      <c r="A597" s="7"/>
      <c r="B597" s="7"/>
      <c r="C597" s="7"/>
      <c r="D597" s="7"/>
      <c r="E597" s="7"/>
    </row>
    <row r="598" spans="1:5" ht="15" thickBot="1" x14ac:dyDescent="0.4">
      <c r="A598" s="7"/>
      <c r="B598" s="7"/>
      <c r="C598" s="7"/>
      <c r="D598" s="7"/>
      <c r="E598" s="7"/>
    </row>
    <row r="599" spans="1:5" ht="15" thickBot="1" x14ac:dyDescent="0.4">
      <c r="A599" s="7"/>
      <c r="B599" s="7"/>
      <c r="C599" s="7"/>
      <c r="D599" s="7"/>
      <c r="E599" s="7"/>
    </row>
    <row r="600" spans="1:5" ht="15" thickBot="1" x14ac:dyDescent="0.4">
      <c r="A600" s="7"/>
      <c r="B600" s="7"/>
      <c r="C600" s="7"/>
      <c r="D600" s="7"/>
      <c r="E600" s="7"/>
    </row>
    <row r="601" spans="1:5" ht="15" thickBot="1" x14ac:dyDescent="0.4">
      <c r="A601" s="7"/>
      <c r="B601" s="7"/>
      <c r="C601" s="7"/>
      <c r="D601" s="7"/>
      <c r="E601" s="7"/>
    </row>
    <row r="602" spans="1:5" ht="15" thickBot="1" x14ac:dyDescent="0.4">
      <c r="A602" s="7"/>
      <c r="B602" s="7"/>
      <c r="C602" s="7"/>
      <c r="D602" s="7"/>
      <c r="E602" s="7"/>
    </row>
    <row r="603" spans="1:5" ht="15" thickBot="1" x14ac:dyDescent="0.4">
      <c r="A603" s="7"/>
      <c r="B603" s="7"/>
      <c r="C603" s="7"/>
      <c r="D603" s="7"/>
      <c r="E603" s="7"/>
    </row>
    <row r="604" spans="1:5" ht="15" thickBot="1" x14ac:dyDescent="0.4">
      <c r="A604" s="7"/>
      <c r="B604" s="7"/>
      <c r="C604" s="7"/>
      <c r="D604" s="7"/>
      <c r="E604" s="7"/>
    </row>
    <row r="605" spans="1:5" ht="15" thickBot="1" x14ac:dyDescent="0.4">
      <c r="A605" s="7"/>
      <c r="B605" s="7"/>
      <c r="C605" s="7"/>
      <c r="D605" s="7"/>
      <c r="E605" s="7"/>
    </row>
    <row r="606" spans="1:5" ht="15" thickBot="1" x14ac:dyDescent="0.4">
      <c r="A606" s="7"/>
      <c r="B606" s="7"/>
      <c r="C606" s="7"/>
      <c r="D606" s="7"/>
      <c r="E606" s="7"/>
    </row>
    <row r="607" spans="1:5" ht="15" thickBot="1" x14ac:dyDescent="0.4">
      <c r="A607" s="7"/>
      <c r="B607" s="7"/>
      <c r="C607" s="7"/>
      <c r="D607" s="7"/>
      <c r="E607" s="7"/>
    </row>
    <row r="608" spans="1:5" ht="15" thickBot="1" x14ac:dyDescent="0.4">
      <c r="A608" s="7"/>
      <c r="B608" s="7"/>
      <c r="C608" s="7"/>
      <c r="D608" s="7"/>
      <c r="E608" s="7"/>
    </row>
    <row r="609" spans="1:5" ht="15" thickBot="1" x14ac:dyDescent="0.4">
      <c r="A609" s="7"/>
      <c r="B609" s="7"/>
      <c r="C609" s="7"/>
      <c r="D609" s="7"/>
      <c r="E609" s="7"/>
    </row>
    <row r="610" spans="1:5" ht="15" thickBot="1" x14ac:dyDescent="0.4">
      <c r="A610" s="7"/>
      <c r="B610" s="7"/>
      <c r="C610" s="7"/>
      <c r="D610" s="7"/>
      <c r="E610" s="7"/>
    </row>
    <row r="611" spans="1:5" ht="15" thickBot="1" x14ac:dyDescent="0.4">
      <c r="A611" s="7"/>
      <c r="B611" s="7"/>
      <c r="C611" s="7"/>
      <c r="D611" s="7"/>
      <c r="E611" s="7"/>
    </row>
    <row r="612" spans="1:5" ht="15" thickBot="1" x14ac:dyDescent="0.4">
      <c r="A612" s="7"/>
      <c r="B612" s="7"/>
      <c r="C612" s="7"/>
      <c r="D612" s="7"/>
      <c r="E612" s="7"/>
    </row>
    <row r="613" spans="1:5" ht="15" thickBot="1" x14ac:dyDescent="0.4">
      <c r="A613" s="7"/>
      <c r="B613" s="7"/>
      <c r="C613" s="7"/>
      <c r="D613" s="7"/>
      <c r="E613" s="7"/>
    </row>
    <row r="614" spans="1:5" ht="15" thickBot="1" x14ac:dyDescent="0.4">
      <c r="A614" s="7"/>
      <c r="B614" s="7"/>
      <c r="C614" s="7"/>
      <c r="D614" s="7"/>
      <c r="E614" s="7"/>
    </row>
    <row r="615" spans="1:5" ht="15" thickBot="1" x14ac:dyDescent="0.4">
      <c r="A615" s="7"/>
      <c r="B615" s="7"/>
      <c r="C615" s="7"/>
      <c r="D615" s="7"/>
      <c r="E615" s="7"/>
    </row>
    <row r="616" spans="1:5" ht="15" thickBot="1" x14ac:dyDescent="0.4">
      <c r="A616" s="7"/>
      <c r="B616" s="7"/>
      <c r="C616" s="7"/>
      <c r="D616" s="7"/>
      <c r="E616" s="7"/>
    </row>
    <row r="617" spans="1:5" ht="15" thickBot="1" x14ac:dyDescent="0.4">
      <c r="A617" s="7"/>
      <c r="B617" s="7"/>
      <c r="C617" s="7"/>
      <c r="D617" s="7"/>
      <c r="E617" s="7"/>
    </row>
    <row r="618" spans="1:5" ht="15" thickBot="1" x14ac:dyDescent="0.4">
      <c r="A618" s="7"/>
      <c r="B618" s="7"/>
      <c r="C618" s="7"/>
      <c r="D618" s="7"/>
      <c r="E618" s="7"/>
    </row>
    <row r="619" spans="1:5" ht="15" thickBot="1" x14ac:dyDescent="0.4">
      <c r="A619" s="7"/>
      <c r="B619" s="7"/>
      <c r="C619" s="7"/>
      <c r="D619" s="7"/>
      <c r="E619" s="7"/>
    </row>
    <row r="620" spans="1:5" ht="15" thickBot="1" x14ac:dyDescent="0.4">
      <c r="A620" s="7"/>
      <c r="B620" s="7"/>
      <c r="C620" s="7"/>
      <c r="D620" s="7"/>
      <c r="E620" s="7"/>
    </row>
    <row r="621" spans="1:5" ht="15" thickBot="1" x14ac:dyDescent="0.4">
      <c r="A621" s="7"/>
      <c r="B621" s="7"/>
      <c r="C621" s="7"/>
      <c r="D621" s="7"/>
      <c r="E621" s="7"/>
    </row>
    <row r="622" spans="1:5" ht="15" thickBot="1" x14ac:dyDescent="0.4">
      <c r="A622" s="7"/>
      <c r="B622" s="7"/>
      <c r="C622" s="7"/>
      <c r="D622" s="7"/>
      <c r="E622" s="7"/>
    </row>
    <row r="623" spans="1:5" ht="15" thickBot="1" x14ac:dyDescent="0.4">
      <c r="A623" s="7"/>
      <c r="B623" s="7"/>
      <c r="C623" s="7"/>
      <c r="D623" s="7"/>
      <c r="E623" s="7"/>
    </row>
    <row r="624" spans="1:5" ht="15" thickBot="1" x14ac:dyDescent="0.4">
      <c r="A624" s="7"/>
      <c r="B624" s="7"/>
      <c r="C624" s="7"/>
      <c r="D624" s="7"/>
      <c r="E624" s="7"/>
    </row>
    <row r="625" spans="1:5" ht="15" thickBot="1" x14ac:dyDescent="0.4">
      <c r="A625" s="7"/>
      <c r="B625" s="7"/>
      <c r="C625" s="7"/>
      <c r="D625" s="7"/>
      <c r="E625" s="7"/>
    </row>
    <row r="626" spans="1:5" ht="15" thickBot="1" x14ac:dyDescent="0.4">
      <c r="A626" s="7"/>
      <c r="B626" s="7"/>
      <c r="C626" s="7"/>
      <c r="D626" s="7"/>
      <c r="E626" s="7"/>
    </row>
    <row r="627" spans="1:5" ht="15" thickBot="1" x14ac:dyDescent="0.4">
      <c r="A627" s="7"/>
      <c r="B627" s="7"/>
      <c r="C627" s="7"/>
      <c r="D627" s="7"/>
      <c r="E627" s="7"/>
    </row>
    <row r="628" spans="1:5" ht="15" thickBot="1" x14ac:dyDescent="0.4">
      <c r="A628" s="7"/>
      <c r="B628" s="7"/>
      <c r="C628" s="7"/>
      <c r="D628" s="7"/>
      <c r="E628" s="7"/>
    </row>
    <row r="629" spans="1:5" ht="15" thickBot="1" x14ac:dyDescent="0.4">
      <c r="A629" s="7"/>
      <c r="B629" s="7"/>
      <c r="C629" s="7"/>
      <c r="D629" s="7"/>
      <c r="E629" s="7"/>
    </row>
    <row r="630" spans="1:5" ht="15" thickBot="1" x14ac:dyDescent="0.4">
      <c r="A630" s="7"/>
      <c r="B630" s="7"/>
      <c r="C630" s="7"/>
      <c r="D630" s="7"/>
      <c r="E630" s="7"/>
    </row>
    <row r="631" spans="1:5" ht="15" thickBot="1" x14ac:dyDescent="0.4">
      <c r="A631" s="7"/>
      <c r="B631" s="7"/>
      <c r="C631" s="7"/>
      <c r="D631" s="7"/>
      <c r="E631" s="7"/>
    </row>
    <row r="632" spans="1:5" ht="15" thickBot="1" x14ac:dyDescent="0.4">
      <c r="A632" s="7"/>
      <c r="B632" s="7"/>
      <c r="C632" s="7"/>
      <c r="D632" s="7"/>
      <c r="E632" s="7"/>
    </row>
    <row r="633" spans="1:5" ht="15" thickBot="1" x14ac:dyDescent="0.4">
      <c r="A633" s="7"/>
      <c r="B633" s="7"/>
      <c r="C633" s="7"/>
      <c r="D633" s="7"/>
      <c r="E633" s="7"/>
    </row>
    <row r="634" spans="1:5" ht="15" thickBot="1" x14ac:dyDescent="0.4">
      <c r="A634" s="7"/>
      <c r="B634" s="7"/>
      <c r="C634" s="7"/>
      <c r="D634" s="7"/>
      <c r="E634" s="7"/>
    </row>
    <row r="635" spans="1:5" ht="15" thickBot="1" x14ac:dyDescent="0.4">
      <c r="A635" s="7"/>
      <c r="B635" s="7"/>
      <c r="C635" s="7"/>
      <c r="D635" s="7"/>
      <c r="E635" s="7"/>
    </row>
    <row r="636" spans="1:5" ht="15" thickBot="1" x14ac:dyDescent="0.4">
      <c r="A636" s="7"/>
      <c r="B636" s="7"/>
      <c r="C636" s="7"/>
      <c r="D636" s="7"/>
      <c r="E636" s="7"/>
    </row>
    <row r="637" spans="1:5" ht="15" thickBot="1" x14ac:dyDescent="0.4">
      <c r="A637" s="7"/>
      <c r="B637" s="7"/>
      <c r="C637" s="7"/>
      <c r="D637" s="7"/>
      <c r="E637" s="7"/>
    </row>
    <row r="638" spans="1:5" ht="15" thickBot="1" x14ac:dyDescent="0.4">
      <c r="A638" s="7"/>
      <c r="B638" s="7"/>
      <c r="C638" s="7"/>
      <c r="D638" s="7"/>
      <c r="E638" s="7"/>
    </row>
    <row r="639" spans="1:5" ht="15" thickBot="1" x14ac:dyDescent="0.4">
      <c r="A639" s="7"/>
      <c r="B639" s="7"/>
      <c r="C639" s="7"/>
      <c r="D639" s="7"/>
      <c r="E639" s="7"/>
    </row>
    <row r="640" spans="1:5" ht="15" thickBot="1" x14ac:dyDescent="0.4">
      <c r="A640" s="7"/>
      <c r="B640" s="7"/>
      <c r="C640" s="7"/>
      <c r="D640" s="7"/>
      <c r="E640" s="7"/>
    </row>
    <row r="641" spans="1:5" ht="15" thickBot="1" x14ac:dyDescent="0.4">
      <c r="A641" s="7"/>
      <c r="B641" s="7"/>
      <c r="C641" s="7"/>
      <c r="D641" s="7"/>
      <c r="E641" s="7"/>
    </row>
    <row r="642" spans="1:5" ht="15" thickBot="1" x14ac:dyDescent="0.4">
      <c r="A642" s="7"/>
      <c r="B642" s="7"/>
      <c r="C642" s="7"/>
      <c r="D642" s="7"/>
      <c r="E642" s="7"/>
    </row>
    <row r="643" spans="1:5" ht="15" thickBot="1" x14ac:dyDescent="0.4">
      <c r="A643" s="7"/>
      <c r="B643" s="7"/>
      <c r="C643" s="7"/>
      <c r="D643" s="7"/>
      <c r="E643" s="7"/>
    </row>
    <row r="644" spans="1:5" ht="15" thickBot="1" x14ac:dyDescent="0.4">
      <c r="A644" s="7"/>
      <c r="B644" s="7"/>
      <c r="C644" s="7"/>
      <c r="D644" s="7"/>
      <c r="E644" s="7"/>
    </row>
    <row r="645" spans="1:5" ht="15" thickBot="1" x14ac:dyDescent="0.4">
      <c r="A645" s="7"/>
      <c r="B645" s="7"/>
      <c r="C645" s="7"/>
      <c r="D645" s="7"/>
      <c r="E645" s="7"/>
    </row>
    <row r="646" spans="1:5" ht="15" thickBot="1" x14ac:dyDescent="0.4">
      <c r="A646" s="7"/>
      <c r="B646" s="7"/>
      <c r="C646" s="7"/>
      <c r="D646" s="7"/>
      <c r="E646" s="7"/>
    </row>
    <row r="647" spans="1:5" ht="15" thickBot="1" x14ac:dyDescent="0.4">
      <c r="A647" s="7"/>
      <c r="B647" s="7"/>
      <c r="C647" s="7"/>
      <c r="D647" s="7"/>
      <c r="E647" s="7"/>
    </row>
    <row r="648" spans="1:5" ht="15" thickBot="1" x14ac:dyDescent="0.4">
      <c r="A648" s="7"/>
      <c r="B648" s="7"/>
      <c r="C648" s="7"/>
      <c r="D648" s="7"/>
      <c r="E648" s="7"/>
    </row>
    <row r="649" spans="1:5" ht="15" thickBot="1" x14ac:dyDescent="0.4">
      <c r="A649" s="7"/>
      <c r="B649" s="7"/>
      <c r="C649" s="7"/>
      <c r="D649" s="7"/>
      <c r="E649" s="7"/>
    </row>
    <row r="650" spans="1:5" ht="15" thickBot="1" x14ac:dyDescent="0.4">
      <c r="A650" s="7"/>
      <c r="B650" s="7"/>
      <c r="C650" s="7"/>
      <c r="D650" s="7"/>
      <c r="E650" s="7"/>
    </row>
    <row r="651" spans="1:5" ht="15" thickBot="1" x14ac:dyDescent="0.4">
      <c r="A651" s="7"/>
      <c r="B651" s="7"/>
      <c r="C651" s="7"/>
      <c r="D651" s="7"/>
      <c r="E651" s="7"/>
    </row>
    <row r="652" spans="1:5" ht="15" thickBot="1" x14ac:dyDescent="0.4">
      <c r="A652" s="7"/>
      <c r="B652" s="7"/>
      <c r="C652" s="7"/>
      <c r="D652" s="7"/>
      <c r="E652" s="7"/>
    </row>
    <row r="653" spans="1:5" ht="15" thickBot="1" x14ac:dyDescent="0.4">
      <c r="A653" s="7"/>
      <c r="B653" s="7"/>
      <c r="C653" s="7"/>
      <c r="D653" s="7"/>
      <c r="E653" s="7"/>
    </row>
    <row r="654" spans="1:5" ht="15" thickBot="1" x14ac:dyDescent="0.4">
      <c r="A654" s="7"/>
      <c r="B654" s="7"/>
      <c r="C654" s="7"/>
      <c r="D654" s="7"/>
      <c r="E654" s="7"/>
    </row>
    <row r="655" spans="1:5" ht="15" thickBot="1" x14ac:dyDescent="0.4">
      <c r="A655" s="7"/>
      <c r="B655" s="7"/>
      <c r="C655" s="7"/>
      <c r="D655" s="7"/>
      <c r="E655" s="7"/>
    </row>
    <row r="656" spans="1:5" ht="15" thickBot="1" x14ac:dyDescent="0.4">
      <c r="A656" s="7"/>
      <c r="B656" s="7"/>
      <c r="C656" s="7"/>
      <c r="D656" s="7"/>
      <c r="E656" s="7"/>
    </row>
    <row r="657" spans="1:5" ht="15" thickBot="1" x14ac:dyDescent="0.4">
      <c r="A657" s="7"/>
      <c r="B657" s="7"/>
      <c r="C657" s="7"/>
      <c r="D657" s="7"/>
      <c r="E657" s="7"/>
    </row>
    <row r="658" spans="1:5" ht="15" thickBot="1" x14ac:dyDescent="0.4">
      <c r="A658" s="7"/>
      <c r="B658" s="7"/>
      <c r="C658" s="7"/>
      <c r="D658" s="7"/>
      <c r="E658" s="7"/>
    </row>
    <row r="659" spans="1:5" ht="15" thickBot="1" x14ac:dyDescent="0.4">
      <c r="A659" s="7"/>
      <c r="B659" s="7"/>
      <c r="C659" s="7"/>
      <c r="D659" s="7"/>
      <c r="E659" s="7"/>
    </row>
    <row r="660" spans="1:5" ht="15" thickBot="1" x14ac:dyDescent="0.4">
      <c r="A660" s="7"/>
      <c r="B660" s="7"/>
      <c r="C660" s="7"/>
      <c r="D660" s="7"/>
      <c r="E660" s="7"/>
    </row>
    <row r="661" spans="1:5" ht="15" thickBot="1" x14ac:dyDescent="0.4">
      <c r="A661" s="7"/>
      <c r="B661" s="7"/>
      <c r="C661" s="7"/>
      <c r="D661" s="7"/>
      <c r="E661" s="7"/>
    </row>
    <row r="662" spans="1:5" ht="15" thickBot="1" x14ac:dyDescent="0.4">
      <c r="A662" s="7"/>
      <c r="B662" s="7"/>
      <c r="C662" s="7"/>
      <c r="D662" s="7"/>
      <c r="E662" s="7"/>
    </row>
    <row r="663" spans="1:5" ht="15" thickBot="1" x14ac:dyDescent="0.4">
      <c r="A663" s="7"/>
      <c r="B663" s="7"/>
      <c r="C663" s="7"/>
      <c r="D663" s="7"/>
      <c r="E663" s="7"/>
    </row>
    <row r="664" spans="1:5" ht="15" thickBot="1" x14ac:dyDescent="0.4">
      <c r="A664" s="7"/>
      <c r="B664" s="7"/>
      <c r="C664" s="7"/>
      <c r="D664" s="7"/>
      <c r="E664" s="7"/>
    </row>
    <row r="665" spans="1:5" ht="15" thickBot="1" x14ac:dyDescent="0.4">
      <c r="A665" s="7"/>
      <c r="B665" s="7"/>
      <c r="C665" s="7"/>
      <c r="D665" s="7"/>
      <c r="E665" s="7"/>
    </row>
    <row r="666" spans="1:5" ht="15" thickBot="1" x14ac:dyDescent="0.4">
      <c r="A666" s="7"/>
      <c r="B666" s="7"/>
      <c r="C666" s="7"/>
      <c r="D666" s="7"/>
      <c r="E666" s="7"/>
    </row>
    <row r="667" spans="1:5" ht="15" thickBot="1" x14ac:dyDescent="0.4">
      <c r="A667" s="7"/>
      <c r="B667" s="7"/>
      <c r="C667" s="7"/>
      <c r="D667" s="7"/>
      <c r="E667" s="7"/>
    </row>
    <row r="668" spans="1:5" ht="15" thickBot="1" x14ac:dyDescent="0.4">
      <c r="A668" s="7"/>
      <c r="B668" s="7"/>
      <c r="C668" s="7"/>
      <c r="D668" s="7"/>
      <c r="E668" s="7"/>
    </row>
    <row r="669" spans="1:5" ht="15" thickBot="1" x14ac:dyDescent="0.4">
      <c r="A669" s="7"/>
      <c r="B669" s="7"/>
      <c r="C669" s="7"/>
      <c r="D669" s="7"/>
      <c r="E669" s="7"/>
    </row>
    <row r="670" spans="1:5" ht="15" thickBot="1" x14ac:dyDescent="0.4">
      <c r="A670" s="7"/>
      <c r="B670" s="7"/>
      <c r="C670" s="7"/>
      <c r="D670" s="7"/>
      <c r="E670" s="7"/>
    </row>
    <row r="671" spans="1:5" ht="15" thickBot="1" x14ac:dyDescent="0.4">
      <c r="A671" s="7"/>
      <c r="B671" s="7"/>
      <c r="C671" s="7"/>
      <c r="D671" s="7"/>
      <c r="E671" s="7"/>
    </row>
    <row r="672" spans="1:5" ht="15" thickBot="1" x14ac:dyDescent="0.4">
      <c r="A672" s="7"/>
      <c r="B672" s="7"/>
      <c r="C672" s="7"/>
      <c r="D672" s="7"/>
      <c r="E672" s="7"/>
    </row>
    <row r="673" spans="1:5" ht="15" thickBot="1" x14ac:dyDescent="0.4">
      <c r="A673" s="7"/>
      <c r="B673" s="7"/>
      <c r="C673" s="7"/>
      <c r="D673" s="7"/>
      <c r="E673" s="7"/>
    </row>
    <row r="674" spans="1:5" ht="15" thickBot="1" x14ac:dyDescent="0.4">
      <c r="A674" s="7"/>
      <c r="B674" s="7"/>
      <c r="C674" s="7"/>
      <c r="D674" s="7"/>
      <c r="E674" s="7"/>
    </row>
    <row r="675" spans="1:5" ht="15" thickBot="1" x14ac:dyDescent="0.4">
      <c r="A675" s="7"/>
      <c r="B675" s="7"/>
      <c r="C675" s="7"/>
      <c r="D675" s="7"/>
      <c r="E675" s="7"/>
    </row>
    <row r="676" spans="1:5" ht="15" thickBot="1" x14ac:dyDescent="0.4">
      <c r="A676" s="7"/>
      <c r="B676" s="7"/>
      <c r="C676" s="7"/>
      <c r="D676" s="7"/>
      <c r="E676" s="7"/>
    </row>
    <row r="677" spans="1:5" ht="15" thickBot="1" x14ac:dyDescent="0.4">
      <c r="A677" s="7"/>
      <c r="B677" s="7"/>
      <c r="C677" s="7"/>
      <c r="D677" s="7"/>
      <c r="E677" s="7"/>
    </row>
    <row r="678" spans="1:5" ht="15" thickBot="1" x14ac:dyDescent="0.4">
      <c r="A678" s="7"/>
      <c r="B678" s="7"/>
      <c r="C678" s="7"/>
      <c r="D678" s="7"/>
      <c r="E678" s="7"/>
    </row>
    <row r="679" spans="1:5" ht="15" thickBot="1" x14ac:dyDescent="0.4">
      <c r="A679" s="7"/>
      <c r="B679" s="7"/>
      <c r="C679" s="7"/>
      <c r="D679" s="7"/>
      <c r="E679" s="7"/>
    </row>
    <row r="680" spans="1:5" ht="15" thickBot="1" x14ac:dyDescent="0.4">
      <c r="A680" s="7"/>
      <c r="B680" s="7"/>
      <c r="C680" s="7"/>
      <c r="D680" s="7"/>
      <c r="E680" s="7"/>
    </row>
    <row r="681" spans="1:5" ht="15" thickBot="1" x14ac:dyDescent="0.4">
      <c r="A681" s="7"/>
      <c r="B681" s="7"/>
      <c r="C681" s="7"/>
      <c r="D681" s="7"/>
      <c r="E681" s="7"/>
    </row>
    <row r="682" spans="1:5" ht="15" thickBot="1" x14ac:dyDescent="0.4">
      <c r="A682" s="7"/>
      <c r="B682" s="7"/>
      <c r="C682" s="7"/>
      <c r="D682" s="7"/>
      <c r="E682" s="7"/>
    </row>
    <row r="683" spans="1:5" ht="15" thickBot="1" x14ac:dyDescent="0.4">
      <c r="A683" s="7"/>
      <c r="B683" s="7"/>
      <c r="C683" s="7"/>
      <c r="D683" s="7"/>
      <c r="E683" s="7"/>
    </row>
    <row r="684" spans="1:5" ht="15" thickBot="1" x14ac:dyDescent="0.4">
      <c r="A684" s="7"/>
      <c r="B684" s="7"/>
      <c r="C684" s="7"/>
      <c r="D684" s="7"/>
      <c r="E684" s="7"/>
    </row>
    <row r="685" spans="1:5" ht="15" thickBot="1" x14ac:dyDescent="0.4">
      <c r="A685" s="7"/>
      <c r="B685" s="7"/>
      <c r="C685" s="7"/>
      <c r="D685" s="7"/>
      <c r="E685" s="7"/>
    </row>
    <row r="686" spans="1:5" ht="15" thickBot="1" x14ac:dyDescent="0.4">
      <c r="A686" s="7"/>
      <c r="B686" s="7"/>
      <c r="C686" s="7"/>
      <c r="D686" s="7"/>
      <c r="E686" s="7"/>
    </row>
    <row r="687" spans="1:5" ht="15" thickBot="1" x14ac:dyDescent="0.4">
      <c r="A687" s="7"/>
      <c r="B687" s="7"/>
      <c r="C687" s="7"/>
      <c r="D687" s="7"/>
      <c r="E687" s="7"/>
    </row>
    <row r="688" spans="1:5" ht="15" thickBot="1" x14ac:dyDescent="0.4">
      <c r="A688" s="7"/>
      <c r="B688" s="7"/>
      <c r="C688" s="7"/>
      <c r="D688" s="7"/>
      <c r="E688" s="7"/>
    </row>
    <row r="689" spans="1:5" ht="15" thickBot="1" x14ac:dyDescent="0.4">
      <c r="A689" s="7"/>
      <c r="B689" s="7"/>
      <c r="C689" s="7"/>
      <c r="D689" s="7"/>
      <c r="E689" s="7"/>
    </row>
    <row r="690" spans="1:5" ht="15" thickBot="1" x14ac:dyDescent="0.4">
      <c r="A690" s="7"/>
      <c r="B690" s="7"/>
      <c r="C690" s="7"/>
      <c r="D690" s="7"/>
      <c r="E690" s="7"/>
    </row>
    <row r="691" spans="1:5" ht="15" thickBot="1" x14ac:dyDescent="0.4">
      <c r="A691" s="7"/>
      <c r="B691" s="7"/>
      <c r="C691" s="7"/>
      <c r="D691" s="7"/>
      <c r="E691" s="7"/>
    </row>
    <row r="692" spans="1:5" ht="15" thickBot="1" x14ac:dyDescent="0.4">
      <c r="A692" s="7"/>
      <c r="B692" s="7"/>
      <c r="C692" s="7"/>
      <c r="D692" s="7"/>
      <c r="E692" s="7"/>
    </row>
    <row r="693" spans="1:5" ht="15" thickBot="1" x14ac:dyDescent="0.4">
      <c r="A693" s="7"/>
      <c r="B693" s="7"/>
      <c r="C693" s="7"/>
      <c r="D693" s="7"/>
      <c r="E693" s="7"/>
    </row>
    <row r="694" spans="1:5" ht="15" thickBot="1" x14ac:dyDescent="0.4">
      <c r="A694" s="7"/>
      <c r="B694" s="7"/>
      <c r="C694" s="7"/>
      <c r="D694" s="7"/>
      <c r="E694" s="7"/>
    </row>
    <row r="695" spans="1:5" ht="15" thickBot="1" x14ac:dyDescent="0.4">
      <c r="A695" s="7"/>
      <c r="B695" s="7"/>
      <c r="C695" s="7"/>
      <c r="D695" s="7"/>
      <c r="E695" s="7"/>
    </row>
    <row r="696" spans="1:5" ht="15" thickBot="1" x14ac:dyDescent="0.4">
      <c r="A696" s="7"/>
      <c r="B696" s="7"/>
      <c r="C696" s="7"/>
      <c r="D696" s="7"/>
      <c r="E696" s="7"/>
    </row>
    <row r="697" spans="1:5" ht="15" thickBot="1" x14ac:dyDescent="0.4">
      <c r="A697" s="7"/>
      <c r="B697" s="7"/>
      <c r="C697" s="7"/>
      <c r="D697" s="7"/>
      <c r="E697" s="7"/>
    </row>
    <row r="698" spans="1:5" ht="15" thickBot="1" x14ac:dyDescent="0.4">
      <c r="A698" s="7"/>
      <c r="B698" s="7"/>
      <c r="C698" s="7"/>
      <c r="D698" s="7"/>
      <c r="E698" s="7"/>
    </row>
    <row r="699" spans="1:5" ht="15" thickBot="1" x14ac:dyDescent="0.4">
      <c r="A699" s="7"/>
      <c r="B699" s="7"/>
      <c r="C699" s="7"/>
      <c r="D699" s="7"/>
      <c r="E699" s="7"/>
    </row>
    <row r="700" spans="1:5" ht="15" thickBot="1" x14ac:dyDescent="0.4">
      <c r="A700" s="7"/>
      <c r="B700" s="7"/>
      <c r="C700" s="7"/>
      <c r="D700" s="7"/>
      <c r="E700" s="7"/>
    </row>
    <row r="701" spans="1:5" ht="15" thickBot="1" x14ac:dyDescent="0.4">
      <c r="A701" s="7"/>
      <c r="B701" s="7"/>
      <c r="C701" s="7"/>
      <c r="D701" s="7"/>
      <c r="E701" s="7"/>
    </row>
    <row r="702" spans="1:5" ht="15" thickBot="1" x14ac:dyDescent="0.4">
      <c r="A702" s="7"/>
      <c r="B702" s="7"/>
      <c r="C702" s="7"/>
      <c r="D702" s="7"/>
      <c r="E702" s="7"/>
    </row>
    <row r="703" spans="1:5" ht="15" thickBot="1" x14ac:dyDescent="0.4">
      <c r="A703" s="7"/>
      <c r="B703" s="7"/>
      <c r="C703" s="7"/>
      <c r="D703" s="7"/>
      <c r="E703" s="7"/>
    </row>
    <row r="704" spans="1:5" ht="15" thickBot="1" x14ac:dyDescent="0.4">
      <c r="A704" s="7"/>
      <c r="B704" s="7"/>
      <c r="C704" s="7"/>
      <c r="D704" s="7"/>
      <c r="E704" s="7"/>
    </row>
    <row r="705" spans="1:5" ht="15" thickBot="1" x14ac:dyDescent="0.4">
      <c r="A705" s="7"/>
      <c r="B705" s="7"/>
      <c r="C705" s="7"/>
      <c r="D705" s="7"/>
      <c r="E705" s="7"/>
    </row>
    <row r="706" spans="1:5" ht="15" thickBot="1" x14ac:dyDescent="0.4">
      <c r="A706" s="7"/>
      <c r="B706" s="7"/>
      <c r="C706" s="7"/>
      <c r="D706" s="7"/>
      <c r="E706" s="7"/>
    </row>
    <row r="707" spans="1:5" ht="15" thickBot="1" x14ac:dyDescent="0.4">
      <c r="A707" s="7"/>
      <c r="B707" s="7"/>
      <c r="C707" s="7"/>
      <c r="D707" s="7"/>
      <c r="E707" s="7"/>
    </row>
    <row r="708" spans="1:5" ht="15" thickBot="1" x14ac:dyDescent="0.4">
      <c r="A708" s="7"/>
      <c r="B708" s="7"/>
      <c r="C708" s="7"/>
      <c r="D708" s="7"/>
      <c r="E708" s="7"/>
    </row>
    <row r="709" spans="1:5" ht="15" thickBot="1" x14ac:dyDescent="0.4">
      <c r="A709" s="7"/>
      <c r="B709" s="7"/>
      <c r="C709" s="7"/>
      <c r="D709" s="7"/>
      <c r="E709" s="7"/>
    </row>
    <row r="710" spans="1:5" ht="15" thickBot="1" x14ac:dyDescent="0.4">
      <c r="A710" s="7"/>
      <c r="B710" s="7"/>
      <c r="C710" s="7"/>
      <c r="D710" s="7"/>
      <c r="E710" s="7"/>
    </row>
    <row r="711" spans="1:5" ht="15" thickBot="1" x14ac:dyDescent="0.4">
      <c r="A711" s="7"/>
      <c r="B711" s="7"/>
      <c r="C711" s="7"/>
      <c r="D711" s="7"/>
      <c r="E711" s="7"/>
    </row>
    <row r="712" spans="1:5" ht="15" thickBot="1" x14ac:dyDescent="0.4">
      <c r="A712" s="7"/>
      <c r="B712" s="7"/>
      <c r="C712" s="7"/>
      <c r="D712" s="7"/>
      <c r="E712" s="7"/>
    </row>
    <row r="713" spans="1:5" ht="15" thickBot="1" x14ac:dyDescent="0.4">
      <c r="A713" s="7"/>
      <c r="B713" s="7"/>
      <c r="C713" s="7"/>
      <c r="D713" s="7"/>
      <c r="E713" s="7"/>
    </row>
    <row r="714" spans="1:5" ht="15" thickBot="1" x14ac:dyDescent="0.4">
      <c r="A714" s="7"/>
      <c r="B714" s="7"/>
      <c r="C714" s="7"/>
      <c r="D714" s="7"/>
      <c r="E714" s="7"/>
    </row>
    <row r="715" spans="1:5" ht="15" thickBot="1" x14ac:dyDescent="0.4">
      <c r="A715" s="7"/>
      <c r="B715" s="7"/>
      <c r="C715" s="7"/>
      <c r="D715" s="7"/>
      <c r="E715" s="7"/>
    </row>
    <row r="716" spans="1:5" ht="15" thickBot="1" x14ac:dyDescent="0.4">
      <c r="A716" s="7"/>
      <c r="B716" s="7"/>
      <c r="C716" s="7"/>
      <c r="D716" s="7"/>
      <c r="E716" s="7"/>
    </row>
    <row r="717" spans="1:5" ht="15" thickBot="1" x14ac:dyDescent="0.4">
      <c r="A717" s="7"/>
      <c r="B717" s="7"/>
      <c r="C717" s="7"/>
      <c r="D717" s="7"/>
      <c r="E717" s="7"/>
    </row>
    <row r="718" spans="1:5" ht="15" thickBot="1" x14ac:dyDescent="0.4">
      <c r="A718" s="7"/>
      <c r="B718" s="7"/>
      <c r="C718" s="7"/>
      <c r="D718" s="7"/>
      <c r="E718" s="7"/>
    </row>
    <row r="719" spans="1:5" ht="15" thickBot="1" x14ac:dyDescent="0.4">
      <c r="A719" s="7"/>
      <c r="B719" s="7"/>
      <c r="C719" s="7"/>
      <c r="D719" s="7"/>
      <c r="E719" s="7"/>
    </row>
    <row r="720" spans="1:5" ht="15" thickBot="1" x14ac:dyDescent="0.4">
      <c r="A720" s="7"/>
      <c r="B720" s="7"/>
      <c r="C720" s="7"/>
      <c r="D720" s="7"/>
      <c r="E720" s="7"/>
    </row>
    <row r="721" spans="1:5" ht="15" thickBot="1" x14ac:dyDescent="0.4">
      <c r="A721" s="7"/>
      <c r="B721" s="7"/>
      <c r="C721" s="7"/>
      <c r="D721" s="7"/>
      <c r="E721" s="7"/>
    </row>
    <row r="722" spans="1:5" ht="15" thickBot="1" x14ac:dyDescent="0.4">
      <c r="A722" s="7"/>
      <c r="B722" s="7"/>
      <c r="C722" s="7"/>
      <c r="D722" s="7"/>
      <c r="E722" s="7"/>
    </row>
    <row r="723" spans="1:5" ht="15" thickBot="1" x14ac:dyDescent="0.4">
      <c r="A723" s="7"/>
      <c r="B723" s="7"/>
      <c r="C723" s="7"/>
      <c r="D723" s="7"/>
      <c r="E723" s="7"/>
    </row>
    <row r="724" spans="1:5" ht="15" thickBot="1" x14ac:dyDescent="0.4">
      <c r="A724" s="7"/>
      <c r="B724" s="7"/>
      <c r="C724" s="7"/>
      <c r="D724" s="7"/>
      <c r="E724" s="7"/>
    </row>
    <row r="725" spans="1:5" ht="15" thickBot="1" x14ac:dyDescent="0.4">
      <c r="A725" s="7"/>
      <c r="B725" s="7"/>
      <c r="C725" s="7"/>
      <c r="D725" s="7"/>
      <c r="E725" s="7"/>
    </row>
    <row r="726" spans="1:5" ht="15" thickBot="1" x14ac:dyDescent="0.4">
      <c r="A726" s="7"/>
      <c r="B726" s="7"/>
      <c r="C726" s="7"/>
      <c r="D726" s="7"/>
      <c r="E726" s="7"/>
    </row>
    <row r="727" spans="1:5" ht="15" thickBot="1" x14ac:dyDescent="0.4">
      <c r="A727" s="7"/>
      <c r="B727" s="7"/>
      <c r="C727" s="7"/>
      <c r="D727" s="7"/>
      <c r="E727" s="7"/>
    </row>
    <row r="728" spans="1:5" ht="15" thickBot="1" x14ac:dyDescent="0.4">
      <c r="A728" s="7"/>
      <c r="B728" s="7"/>
      <c r="C728" s="7"/>
      <c r="D728" s="7"/>
      <c r="E728" s="7"/>
    </row>
    <row r="729" spans="1:5" ht="15" thickBot="1" x14ac:dyDescent="0.4">
      <c r="A729" s="7"/>
      <c r="B729" s="7"/>
      <c r="C729" s="7"/>
      <c r="D729" s="7"/>
      <c r="E729" s="7"/>
    </row>
    <row r="730" spans="1:5" ht="15" thickBot="1" x14ac:dyDescent="0.4">
      <c r="A730" s="7"/>
      <c r="B730" s="7"/>
      <c r="C730" s="7"/>
      <c r="D730" s="7"/>
      <c r="E730" s="7"/>
    </row>
    <row r="731" spans="1:5" ht="15" thickBot="1" x14ac:dyDescent="0.4">
      <c r="A731" s="7"/>
      <c r="B731" s="7"/>
      <c r="C731" s="7"/>
      <c r="D731" s="7"/>
      <c r="E731" s="7"/>
    </row>
    <row r="732" spans="1:5" ht="15" thickBot="1" x14ac:dyDescent="0.4">
      <c r="A732" s="7"/>
      <c r="B732" s="7"/>
      <c r="C732" s="7"/>
      <c r="D732" s="7"/>
      <c r="E732" s="7"/>
    </row>
    <row r="733" spans="1:5" ht="15" thickBot="1" x14ac:dyDescent="0.4">
      <c r="A733" s="7"/>
      <c r="B733" s="7"/>
      <c r="C733" s="7"/>
      <c r="D733" s="7"/>
      <c r="E733" s="7"/>
    </row>
    <row r="734" spans="1:5" ht="15" thickBot="1" x14ac:dyDescent="0.4">
      <c r="A734" s="7"/>
      <c r="B734" s="7"/>
      <c r="C734" s="7"/>
      <c r="D734" s="7"/>
      <c r="E734" s="7"/>
    </row>
    <row r="735" spans="1:5" ht="15" thickBot="1" x14ac:dyDescent="0.4">
      <c r="A735" s="7"/>
      <c r="B735" s="7"/>
      <c r="C735" s="7"/>
      <c r="D735" s="7"/>
      <c r="E735" s="7"/>
    </row>
    <row r="736" spans="1:5" ht="15" thickBot="1" x14ac:dyDescent="0.4">
      <c r="A736" s="7"/>
      <c r="B736" s="7"/>
      <c r="C736" s="7"/>
      <c r="D736" s="7"/>
      <c r="E736" s="7"/>
    </row>
    <row r="737" spans="1:5" ht="15" thickBot="1" x14ac:dyDescent="0.4">
      <c r="A737" s="7"/>
      <c r="B737" s="7"/>
      <c r="C737" s="7"/>
      <c r="D737" s="7"/>
      <c r="E737" s="7"/>
    </row>
    <row r="738" spans="1:5" ht="15" thickBot="1" x14ac:dyDescent="0.4">
      <c r="A738" s="7"/>
      <c r="B738" s="7"/>
      <c r="C738" s="7"/>
      <c r="D738" s="7"/>
      <c r="E738" s="7"/>
    </row>
    <row r="739" spans="1:5" ht="15" thickBot="1" x14ac:dyDescent="0.4">
      <c r="A739" s="7"/>
      <c r="B739" s="7"/>
      <c r="C739" s="7"/>
      <c r="D739" s="7"/>
      <c r="E739" s="7"/>
    </row>
    <row r="740" spans="1:5" ht="15" thickBot="1" x14ac:dyDescent="0.4">
      <c r="A740" s="7"/>
      <c r="B740" s="7"/>
      <c r="C740" s="7"/>
      <c r="D740" s="7"/>
      <c r="E740" s="7"/>
    </row>
    <row r="741" spans="1:5" ht="15" thickBot="1" x14ac:dyDescent="0.4">
      <c r="A741" s="7"/>
      <c r="B741" s="7"/>
      <c r="C741" s="7"/>
      <c r="D741" s="7"/>
      <c r="E741" s="7"/>
    </row>
    <row r="742" spans="1:5" ht="15" thickBot="1" x14ac:dyDescent="0.4">
      <c r="A742" s="7"/>
      <c r="B742" s="7"/>
      <c r="C742" s="7"/>
      <c r="D742" s="7"/>
      <c r="E742" s="7"/>
    </row>
    <row r="743" spans="1:5" ht="15" thickBot="1" x14ac:dyDescent="0.4">
      <c r="A743" s="7"/>
      <c r="B743" s="7"/>
      <c r="C743" s="7"/>
      <c r="D743" s="7"/>
      <c r="E743" s="7"/>
    </row>
    <row r="744" spans="1:5" ht="15" thickBot="1" x14ac:dyDescent="0.4">
      <c r="A744" s="7"/>
      <c r="B744" s="7"/>
      <c r="C744" s="7"/>
      <c r="D744" s="7"/>
      <c r="E744" s="7"/>
    </row>
    <row r="745" spans="1:5" ht="15" thickBot="1" x14ac:dyDescent="0.4">
      <c r="A745" s="7"/>
      <c r="B745" s="7"/>
      <c r="C745" s="7"/>
      <c r="D745" s="7"/>
      <c r="E745" s="7"/>
    </row>
    <row r="746" spans="1:5" ht="15" thickBot="1" x14ac:dyDescent="0.4">
      <c r="A746" s="7"/>
      <c r="B746" s="7"/>
      <c r="C746" s="7"/>
      <c r="D746" s="7"/>
      <c r="E746" s="7"/>
    </row>
    <row r="747" spans="1:5" ht="15" thickBot="1" x14ac:dyDescent="0.4">
      <c r="A747" s="7"/>
      <c r="B747" s="7"/>
      <c r="C747" s="7"/>
      <c r="D747" s="7"/>
      <c r="E747" s="7"/>
    </row>
    <row r="748" spans="1:5" ht="15" thickBot="1" x14ac:dyDescent="0.4">
      <c r="A748" s="7"/>
      <c r="B748" s="7"/>
      <c r="C748" s="7"/>
      <c r="D748" s="7"/>
      <c r="E748" s="7"/>
    </row>
    <row r="749" spans="1:5" ht="15" thickBot="1" x14ac:dyDescent="0.4">
      <c r="A749" s="7"/>
      <c r="B749" s="7"/>
      <c r="C749" s="7"/>
      <c r="D749" s="7"/>
      <c r="E749" s="7"/>
    </row>
    <row r="750" spans="1:5" ht="15" thickBot="1" x14ac:dyDescent="0.4">
      <c r="A750" s="7"/>
      <c r="B750" s="7"/>
      <c r="C750" s="7"/>
      <c r="D750" s="7"/>
      <c r="E750" s="7"/>
    </row>
    <row r="751" spans="1:5" ht="15" thickBot="1" x14ac:dyDescent="0.4">
      <c r="A751" s="7"/>
      <c r="B751" s="7"/>
      <c r="C751" s="7"/>
      <c r="D751" s="7"/>
      <c r="E751" s="7"/>
    </row>
    <row r="752" spans="1:5" ht="15" thickBot="1" x14ac:dyDescent="0.4">
      <c r="A752" s="7"/>
      <c r="B752" s="7"/>
      <c r="C752" s="7"/>
      <c r="D752" s="7"/>
      <c r="E752" s="7"/>
    </row>
    <row r="753" spans="1:5" ht="15" thickBot="1" x14ac:dyDescent="0.4">
      <c r="A753" s="7"/>
      <c r="B753" s="7"/>
      <c r="C753" s="7"/>
      <c r="D753" s="7"/>
      <c r="E753" s="7"/>
    </row>
    <row r="754" spans="1:5" ht="15" thickBot="1" x14ac:dyDescent="0.4">
      <c r="A754" s="7"/>
      <c r="B754" s="7"/>
      <c r="C754" s="7"/>
      <c r="D754" s="7"/>
      <c r="E754" s="7"/>
    </row>
    <row r="755" spans="1:5" ht="15" thickBot="1" x14ac:dyDescent="0.4">
      <c r="A755" s="7"/>
      <c r="B755" s="7"/>
      <c r="C755" s="7"/>
      <c r="D755" s="7"/>
      <c r="E755" s="7"/>
    </row>
    <row r="756" spans="1:5" ht="15" thickBot="1" x14ac:dyDescent="0.4">
      <c r="A756" s="7"/>
      <c r="B756" s="7"/>
      <c r="C756" s="7"/>
      <c r="D756" s="7"/>
      <c r="E756" s="7"/>
    </row>
    <row r="757" spans="1:5" ht="15" thickBot="1" x14ac:dyDescent="0.4">
      <c r="A757" s="7"/>
      <c r="B757" s="7"/>
      <c r="C757" s="7"/>
      <c r="D757" s="7"/>
      <c r="E757" s="7"/>
    </row>
    <row r="758" spans="1:5" ht="15" thickBot="1" x14ac:dyDescent="0.4">
      <c r="A758" s="7"/>
      <c r="B758" s="7"/>
      <c r="C758" s="7"/>
      <c r="D758" s="7"/>
      <c r="E758" s="7"/>
    </row>
    <row r="759" spans="1:5" ht="15" thickBot="1" x14ac:dyDescent="0.4">
      <c r="A759" s="7"/>
      <c r="B759" s="7"/>
      <c r="C759" s="7"/>
      <c r="D759" s="7"/>
      <c r="E759" s="7"/>
    </row>
    <row r="760" spans="1:5" ht="15" thickBot="1" x14ac:dyDescent="0.4">
      <c r="A760" s="7"/>
      <c r="B760" s="7"/>
      <c r="C760" s="7"/>
      <c r="D760" s="7"/>
      <c r="E760" s="7"/>
    </row>
    <row r="761" spans="1:5" ht="15" thickBot="1" x14ac:dyDescent="0.4">
      <c r="A761" s="7"/>
      <c r="B761" s="7"/>
      <c r="C761" s="7"/>
      <c r="D761" s="7"/>
      <c r="E761" s="7"/>
    </row>
    <row r="762" spans="1:5" ht="15" thickBot="1" x14ac:dyDescent="0.4">
      <c r="A762" s="7"/>
      <c r="B762" s="7"/>
      <c r="C762" s="7"/>
      <c r="D762" s="7"/>
      <c r="E762" s="7"/>
    </row>
    <row r="763" spans="1:5" ht="15" thickBot="1" x14ac:dyDescent="0.4">
      <c r="A763" s="7"/>
      <c r="B763" s="7"/>
      <c r="C763" s="7"/>
      <c r="D763" s="7"/>
      <c r="E763" s="7"/>
    </row>
    <row r="764" spans="1:5" ht="15" thickBot="1" x14ac:dyDescent="0.4">
      <c r="A764" s="7"/>
      <c r="B764" s="7"/>
      <c r="C764" s="7"/>
      <c r="D764" s="7"/>
      <c r="E764" s="7"/>
    </row>
    <row r="765" spans="1:5" ht="15" thickBot="1" x14ac:dyDescent="0.4">
      <c r="A765" s="7"/>
      <c r="B765" s="7"/>
      <c r="C765" s="7"/>
      <c r="D765" s="7"/>
      <c r="E765" s="7"/>
    </row>
    <row r="766" spans="1:5" ht="15" thickBot="1" x14ac:dyDescent="0.4">
      <c r="A766" s="7"/>
      <c r="B766" s="7"/>
      <c r="C766" s="7"/>
      <c r="D766" s="7"/>
      <c r="E766" s="7"/>
    </row>
    <row r="767" spans="1:5" ht="15" thickBot="1" x14ac:dyDescent="0.4">
      <c r="A767" s="7"/>
      <c r="B767" s="7"/>
      <c r="C767" s="7"/>
      <c r="D767" s="7"/>
      <c r="E767" s="7"/>
    </row>
    <row r="768" spans="1:5" ht="15" thickBot="1" x14ac:dyDescent="0.4">
      <c r="A768" s="7"/>
      <c r="B768" s="7"/>
      <c r="C768" s="7"/>
      <c r="D768" s="7"/>
      <c r="E768" s="7"/>
    </row>
    <row r="769" spans="1:5" ht="15" thickBot="1" x14ac:dyDescent="0.4">
      <c r="A769" s="7"/>
      <c r="B769" s="7"/>
      <c r="C769" s="7"/>
      <c r="D769" s="7"/>
      <c r="E769" s="7"/>
    </row>
    <row r="770" spans="1:5" ht="15" thickBot="1" x14ac:dyDescent="0.4">
      <c r="A770" s="7"/>
      <c r="B770" s="7"/>
      <c r="C770" s="7"/>
      <c r="D770" s="7"/>
      <c r="E770" s="7"/>
    </row>
    <row r="771" spans="1:5" ht="15" thickBot="1" x14ac:dyDescent="0.4">
      <c r="A771" s="7"/>
      <c r="B771" s="7"/>
      <c r="C771" s="7"/>
      <c r="D771" s="7"/>
      <c r="E771" s="7"/>
    </row>
    <row r="772" spans="1:5" ht="15" thickBot="1" x14ac:dyDescent="0.4">
      <c r="A772" s="7"/>
      <c r="B772" s="7"/>
      <c r="C772" s="7"/>
      <c r="D772" s="7"/>
      <c r="E772" s="7"/>
    </row>
    <row r="773" spans="1:5" ht="15" thickBot="1" x14ac:dyDescent="0.4">
      <c r="A773" s="7"/>
      <c r="B773" s="7"/>
      <c r="C773" s="7"/>
      <c r="D773" s="7"/>
      <c r="E773" s="7"/>
    </row>
    <row r="774" spans="1:5" ht="15" thickBot="1" x14ac:dyDescent="0.4">
      <c r="A774" s="7"/>
      <c r="B774" s="7"/>
      <c r="C774" s="7"/>
      <c r="D774" s="7"/>
      <c r="E774" s="7"/>
    </row>
    <row r="775" spans="1:5" ht="15" thickBot="1" x14ac:dyDescent="0.4">
      <c r="A775" s="7"/>
      <c r="B775" s="7"/>
      <c r="C775" s="7"/>
      <c r="D775" s="7"/>
      <c r="E775" s="7"/>
    </row>
    <row r="776" spans="1:5" ht="15" thickBot="1" x14ac:dyDescent="0.4">
      <c r="A776" s="7"/>
      <c r="B776" s="7"/>
      <c r="C776" s="7"/>
      <c r="D776" s="7"/>
      <c r="E776" s="7"/>
    </row>
    <row r="777" spans="1:5" ht="15" thickBot="1" x14ac:dyDescent="0.4">
      <c r="A777" s="7"/>
      <c r="B777" s="7"/>
      <c r="C777" s="7"/>
      <c r="D777" s="7"/>
      <c r="E777" s="7"/>
    </row>
    <row r="778" spans="1:5" ht="15" thickBot="1" x14ac:dyDescent="0.4">
      <c r="A778" s="7"/>
      <c r="B778" s="7"/>
      <c r="C778" s="7"/>
      <c r="D778" s="7"/>
      <c r="E778" s="7"/>
    </row>
    <row r="779" spans="1:5" ht="15" thickBot="1" x14ac:dyDescent="0.4">
      <c r="A779" s="7"/>
      <c r="B779" s="7"/>
      <c r="C779" s="7"/>
      <c r="D779" s="7"/>
      <c r="E779" s="7"/>
    </row>
    <row r="780" spans="1:5" ht="15" thickBot="1" x14ac:dyDescent="0.4">
      <c r="A780" s="7"/>
      <c r="B780" s="7"/>
      <c r="C780" s="7"/>
      <c r="D780" s="7"/>
      <c r="E780" s="7"/>
    </row>
    <row r="781" spans="1:5" ht="15" thickBot="1" x14ac:dyDescent="0.4">
      <c r="A781" s="7"/>
      <c r="B781" s="7"/>
      <c r="C781" s="7"/>
      <c r="D781" s="7"/>
      <c r="E781" s="7"/>
    </row>
    <row r="782" spans="1:5" ht="15" thickBot="1" x14ac:dyDescent="0.4">
      <c r="A782" s="7"/>
      <c r="B782" s="7"/>
      <c r="C782" s="7"/>
      <c r="D782" s="7"/>
      <c r="E782" s="7"/>
    </row>
    <row r="783" spans="1:5" ht="15" thickBot="1" x14ac:dyDescent="0.4">
      <c r="A783" s="7"/>
      <c r="B783" s="7"/>
      <c r="C783" s="7"/>
      <c r="D783" s="7"/>
      <c r="E783" s="7"/>
    </row>
    <row r="784" spans="1:5" ht="15" thickBot="1" x14ac:dyDescent="0.4">
      <c r="A784" s="7"/>
      <c r="B784" s="7"/>
      <c r="C784" s="7"/>
      <c r="D784" s="7"/>
      <c r="E784" s="7"/>
    </row>
    <row r="785" spans="1:5" ht="15" thickBot="1" x14ac:dyDescent="0.4">
      <c r="A785" s="7"/>
      <c r="B785" s="7"/>
      <c r="C785" s="7"/>
      <c r="D785" s="7"/>
      <c r="E785" s="7"/>
    </row>
    <row r="786" spans="1:5" ht="15" thickBot="1" x14ac:dyDescent="0.4">
      <c r="A786" s="7"/>
      <c r="B786" s="7"/>
      <c r="C786" s="7"/>
      <c r="D786" s="7"/>
      <c r="E786" s="7"/>
    </row>
    <row r="787" spans="1:5" ht="15" thickBot="1" x14ac:dyDescent="0.4">
      <c r="A787" s="7"/>
      <c r="B787" s="7"/>
      <c r="C787" s="7"/>
      <c r="D787" s="7"/>
      <c r="E787" s="7"/>
    </row>
    <row r="788" spans="1:5" ht="15" thickBot="1" x14ac:dyDescent="0.4">
      <c r="A788" s="7"/>
      <c r="B788" s="7"/>
      <c r="C788" s="7"/>
      <c r="D788" s="7"/>
      <c r="E788" s="7"/>
    </row>
    <row r="789" spans="1:5" ht="15" thickBot="1" x14ac:dyDescent="0.4">
      <c r="A789" s="7"/>
      <c r="B789" s="7"/>
      <c r="C789" s="7"/>
      <c r="D789" s="7"/>
      <c r="E789" s="7"/>
    </row>
    <row r="790" spans="1:5" ht="15" thickBot="1" x14ac:dyDescent="0.4">
      <c r="A790" s="7"/>
      <c r="B790" s="7"/>
      <c r="C790" s="7"/>
      <c r="D790" s="7"/>
      <c r="E790" s="7"/>
    </row>
    <row r="791" spans="1:5" ht="15" thickBot="1" x14ac:dyDescent="0.4">
      <c r="A791" s="7"/>
      <c r="B791" s="7"/>
      <c r="C791" s="7"/>
      <c r="D791" s="7"/>
      <c r="E791" s="7"/>
    </row>
    <row r="792" spans="1:5" ht="15" thickBot="1" x14ac:dyDescent="0.4">
      <c r="A792" s="7"/>
      <c r="B792" s="7"/>
      <c r="C792" s="7"/>
      <c r="D792" s="7"/>
      <c r="E792" s="7"/>
    </row>
    <row r="793" spans="1:5" ht="15" thickBot="1" x14ac:dyDescent="0.4">
      <c r="A793" s="7"/>
      <c r="B793" s="7"/>
      <c r="C793" s="7"/>
      <c r="D793" s="7"/>
      <c r="E793" s="7"/>
    </row>
    <row r="794" spans="1:5" ht="15" thickBot="1" x14ac:dyDescent="0.4">
      <c r="A794" s="7"/>
      <c r="B794" s="7"/>
      <c r="C794" s="7"/>
      <c r="D794" s="7"/>
      <c r="E794" s="7"/>
    </row>
    <row r="795" spans="1:5" ht="15" thickBot="1" x14ac:dyDescent="0.4">
      <c r="A795" s="7"/>
      <c r="B795" s="7"/>
      <c r="C795" s="7"/>
      <c r="D795" s="7"/>
      <c r="E795" s="7"/>
    </row>
    <row r="796" spans="1:5" ht="15" thickBot="1" x14ac:dyDescent="0.4">
      <c r="A796" s="7"/>
      <c r="B796" s="7"/>
      <c r="C796" s="7"/>
      <c r="D796" s="7"/>
      <c r="E796" s="7"/>
    </row>
    <row r="797" spans="1:5" ht="15" thickBot="1" x14ac:dyDescent="0.4">
      <c r="A797" s="7"/>
      <c r="B797" s="7"/>
      <c r="C797" s="7"/>
      <c r="D797" s="7"/>
      <c r="E797" s="7"/>
    </row>
    <row r="798" spans="1:5" ht="15" thickBot="1" x14ac:dyDescent="0.4">
      <c r="A798" s="7"/>
      <c r="B798" s="7"/>
      <c r="C798" s="7"/>
      <c r="D798" s="7"/>
      <c r="E798" s="7"/>
    </row>
    <row r="799" spans="1:5" ht="15" thickBot="1" x14ac:dyDescent="0.4">
      <c r="A799" s="7"/>
      <c r="B799" s="7"/>
      <c r="C799" s="7"/>
      <c r="D799" s="7"/>
      <c r="E799" s="7"/>
    </row>
    <row r="800" spans="1:5" ht="15" thickBot="1" x14ac:dyDescent="0.4">
      <c r="A800" s="7"/>
      <c r="B800" s="7"/>
      <c r="C800" s="7"/>
      <c r="D800" s="7"/>
      <c r="E800" s="7"/>
    </row>
    <row r="801" spans="1:5" ht="15" thickBot="1" x14ac:dyDescent="0.4">
      <c r="A801" s="7"/>
      <c r="B801" s="7"/>
      <c r="C801" s="7"/>
      <c r="D801" s="7"/>
      <c r="E801" s="7"/>
    </row>
    <row r="802" spans="1:5" ht="15" thickBot="1" x14ac:dyDescent="0.4">
      <c r="A802" s="7"/>
      <c r="B802" s="7"/>
      <c r="C802" s="7"/>
      <c r="D802" s="7"/>
      <c r="E802" s="7"/>
    </row>
    <row r="803" spans="1:5" ht="15" thickBot="1" x14ac:dyDescent="0.4">
      <c r="A803" s="7"/>
      <c r="B803" s="7"/>
      <c r="C803" s="7"/>
      <c r="D803" s="7"/>
      <c r="E803" s="7"/>
    </row>
    <row r="804" spans="1:5" ht="15" thickBot="1" x14ac:dyDescent="0.4">
      <c r="A804" s="7"/>
      <c r="B804" s="7"/>
      <c r="C804" s="7"/>
      <c r="D804" s="7"/>
      <c r="E804" s="7"/>
    </row>
    <row r="805" spans="1:5" ht="15" thickBot="1" x14ac:dyDescent="0.4">
      <c r="A805" s="7"/>
      <c r="B805" s="7"/>
      <c r="C805" s="7"/>
      <c r="D805" s="7"/>
      <c r="E805" s="7"/>
    </row>
    <row r="806" spans="1:5" ht="15" thickBot="1" x14ac:dyDescent="0.4">
      <c r="A806" s="7"/>
      <c r="B806" s="7"/>
      <c r="C806" s="7"/>
      <c r="D806" s="7"/>
      <c r="E806" s="7"/>
    </row>
    <row r="807" spans="1:5" ht="15" thickBot="1" x14ac:dyDescent="0.4">
      <c r="A807" s="7"/>
      <c r="B807" s="7"/>
      <c r="C807" s="7"/>
      <c r="D807" s="7"/>
      <c r="E807" s="7"/>
    </row>
    <row r="808" spans="1:5" ht="15" thickBot="1" x14ac:dyDescent="0.4">
      <c r="A808" s="7"/>
      <c r="B808" s="7"/>
      <c r="C808" s="7"/>
      <c r="D808" s="7"/>
      <c r="E808" s="7"/>
    </row>
    <row r="809" spans="1:5" ht="15" thickBot="1" x14ac:dyDescent="0.4">
      <c r="A809" s="7"/>
      <c r="B809" s="7"/>
      <c r="C809" s="7"/>
      <c r="D809" s="7"/>
      <c r="E809" s="7"/>
    </row>
    <row r="810" spans="1:5" ht="15" thickBot="1" x14ac:dyDescent="0.4">
      <c r="A810" s="7"/>
      <c r="B810" s="7"/>
      <c r="C810" s="7"/>
      <c r="D810" s="7"/>
      <c r="E810" s="7"/>
    </row>
    <row r="811" spans="1:5" ht="15" thickBot="1" x14ac:dyDescent="0.4">
      <c r="A811" s="7"/>
      <c r="B811" s="7"/>
      <c r="C811" s="7"/>
      <c r="D811" s="7"/>
      <c r="E811" s="7"/>
    </row>
    <row r="812" spans="1:5" ht="15" thickBot="1" x14ac:dyDescent="0.4">
      <c r="A812" s="7"/>
      <c r="B812" s="7"/>
      <c r="C812" s="7"/>
      <c r="D812" s="7"/>
      <c r="E812" s="7"/>
    </row>
    <row r="813" spans="1:5" ht="15" thickBot="1" x14ac:dyDescent="0.4">
      <c r="A813" s="7"/>
      <c r="B813" s="7"/>
      <c r="C813" s="7"/>
      <c r="D813" s="7"/>
      <c r="E813" s="7"/>
    </row>
    <row r="814" spans="1:5" ht="15" thickBot="1" x14ac:dyDescent="0.4">
      <c r="A814" s="7"/>
      <c r="B814" s="7"/>
      <c r="C814" s="7"/>
      <c r="D814" s="7"/>
      <c r="E814" s="7"/>
    </row>
    <row r="815" spans="1:5" ht="15" thickBot="1" x14ac:dyDescent="0.4">
      <c r="A815" s="7"/>
      <c r="B815" s="7"/>
      <c r="C815" s="7"/>
      <c r="D815" s="7"/>
      <c r="E815" s="7"/>
    </row>
    <row r="816" spans="1:5" ht="15" thickBot="1" x14ac:dyDescent="0.4">
      <c r="A816" s="7"/>
      <c r="B816" s="7"/>
      <c r="C816" s="7"/>
      <c r="D816" s="7"/>
      <c r="E816" s="7"/>
    </row>
    <row r="817" spans="1:5" ht="15" thickBot="1" x14ac:dyDescent="0.4">
      <c r="A817" s="7"/>
      <c r="B817" s="7"/>
      <c r="C817" s="7"/>
      <c r="D817" s="7"/>
      <c r="E817" s="7"/>
    </row>
    <row r="818" spans="1:5" ht="15" thickBot="1" x14ac:dyDescent="0.4">
      <c r="A818" s="7"/>
      <c r="B818" s="7"/>
      <c r="C818" s="7"/>
      <c r="D818" s="7"/>
      <c r="E818" s="7"/>
    </row>
    <row r="819" spans="1:5" ht="15" thickBot="1" x14ac:dyDescent="0.4">
      <c r="A819" s="7"/>
      <c r="B819" s="7"/>
      <c r="C819" s="7"/>
      <c r="D819" s="7"/>
      <c r="E819" s="7"/>
    </row>
    <row r="820" spans="1:5" ht="15" thickBot="1" x14ac:dyDescent="0.4">
      <c r="A820" s="7"/>
      <c r="B820" s="7"/>
      <c r="C820" s="7"/>
      <c r="D820" s="7"/>
      <c r="E820" s="7"/>
    </row>
    <row r="821" spans="1:5" ht="15" thickBot="1" x14ac:dyDescent="0.4">
      <c r="A821" s="7"/>
      <c r="B821" s="7"/>
      <c r="C821" s="7"/>
      <c r="D821" s="7"/>
      <c r="E821" s="7"/>
    </row>
    <row r="822" spans="1:5" ht="15" thickBot="1" x14ac:dyDescent="0.4">
      <c r="A822" s="7"/>
      <c r="B822" s="7"/>
      <c r="C822" s="7"/>
      <c r="D822" s="7"/>
      <c r="E822" s="7"/>
    </row>
    <row r="823" spans="1:5" ht="15" thickBot="1" x14ac:dyDescent="0.4">
      <c r="A823" s="7"/>
      <c r="B823" s="7"/>
      <c r="C823" s="7"/>
      <c r="D823" s="7"/>
      <c r="E823" s="7"/>
    </row>
    <row r="824" spans="1:5" ht="15" thickBot="1" x14ac:dyDescent="0.4">
      <c r="A824" s="7"/>
      <c r="B824" s="7"/>
      <c r="C824" s="7"/>
      <c r="D824" s="7"/>
      <c r="E824" s="7"/>
    </row>
    <row r="825" spans="1:5" ht="15" thickBot="1" x14ac:dyDescent="0.4">
      <c r="A825" s="7"/>
      <c r="B825" s="7"/>
      <c r="C825" s="7"/>
      <c r="D825" s="7"/>
      <c r="E825" s="7"/>
    </row>
    <row r="826" spans="1:5" ht="15" thickBot="1" x14ac:dyDescent="0.4">
      <c r="A826" s="7"/>
      <c r="B826" s="7"/>
      <c r="C826" s="7"/>
      <c r="D826" s="7"/>
      <c r="E826" s="7"/>
    </row>
    <row r="827" spans="1:5" ht="15" thickBot="1" x14ac:dyDescent="0.4">
      <c r="A827" s="7"/>
      <c r="B827" s="7"/>
      <c r="C827" s="7"/>
      <c r="D827" s="7"/>
      <c r="E827" s="7"/>
    </row>
    <row r="828" spans="1:5" ht="15" thickBot="1" x14ac:dyDescent="0.4">
      <c r="A828" s="7"/>
      <c r="B828" s="7"/>
      <c r="C828" s="7"/>
      <c r="D828" s="7"/>
      <c r="E828" s="7"/>
    </row>
    <row r="829" spans="1:5" ht="15" thickBot="1" x14ac:dyDescent="0.4">
      <c r="A829" s="7"/>
      <c r="B829" s="7"/>
      <c r="C829" s="7"/>
      <c r="D829" s="7"/>
      <c r="E829" s="7"/>
    </row>
    <row r="830" spans="1:5" ht="15" thickBot="1" x14ac:dyDescent="0.4">
      <c r="A830" s="7"/>
      <c r="B830" s="7"/>
      <c r="C830" s="7"/>
      <c r="D830" s="7"/>
      <c r="E830" s="7"/>
    </row>
    <row r="831" spans="1:5" ht="15" thickBot="1" x14ac:dyDescent="0.4">
      <c r="A831" s="7"/>
      <c r="B831" s="7"/>
      <c r="C831" s="7"/>
      <c r="D831" s="7"/>
      <c r="E831" s="7"/>
    </row>
    <row r="832" spans="1:5" ht="15" thickBot="1" x14ac:dyDescent="0.4">
      <c r="A832" s="7"/>
      <c r="B832" s="7"/>
      <c r="C832" s="7"/>
      <c r="D832" s="7"/>
      <c r="E832" s="7"/>
    </row>
    <row r="833" spans="1:5" ht="15" thickBot="1" x14ac:dyDescent="0.4">
      <c r="A833" s="7"/>
      <c r="B833" s="7"/>
      <c r="C833" s="7"/>
      <c r="D833" s="7"/>
      <c r="E833" s="7"/>
    </row>
    <row r="834" spans="1:5" ht="15" thickBot="1" x14ac:dyDescent="0.4">
      <c r="A834" s="7"/>
      <c r="B834" s="7"/>
      <c r="C834" s="7"/>
      <c r="D834" s="7"/>
      <c r="E834" s="7"/>
    </row>
    <row r="835" spans="1:5" ht="15" thickBot="1" x14ac:dyDescent="0.4">
      <c r="A835" s="7"/>
      <c r="B835" s="7"/>
      <c r="C835" s="7"/>
      <c r="D835" s="7"/>
      <c r="E835" s="7"/>
    </row>
    <row r="836" spans="1:5" ht="15" thickBot="1" x14ac:dyDescent="0.4">
      <c r="A836" s="7"/>
      <c r="B836" s="7"/>
      <c r="C836" s="7"/>
      <c r="D836" s="7"/>
      <c r="E836" s="7"/>
    </row>
    <row r="837" spans="1:5" ht="15" thickBot="1" x14ac:dyDescent="0.4">
      <c r="A837" s="7"/>
      <c r="B837" s="7"/>
      <c r="C837" s="7"/>
      <c r="D837" s="7"/>
      <c r="E837" s="7"/>
    </row>
    <row r="838" spans="1:5" ht="15" thickBot="1" x14ac:dyDescent="0.4">
      <c r="A838" s="7"/>
      <c r="B838" s="7"/>
      <c r="C838" s="7"/>
      <c r="D838" s="7"/>
      <c r="E838" s="7"/>
    </row>
    <row r="839" spans="1:5" ht="15" thickBot="1" x14ac:dyDescent="0.4">
      <c r="A839" s="7"/>
      <c r="B839" s="7"/>
      <c r="C839" s="7"/>
      <c r="D839" s="7"/>
      <c r="E839" s="7"/>
    </row>
    <row r="840" spans="1:5" ht="15" thickBot="1" x14ac:dyDescent="0.4">
      <c r="A840" s="7"/>
      <c r="B840" s="7"/>
      <c r="C840" s="7"/>
      <c r="D840" s="7"/>
      <c r="E840" s="7"/>
    </row>
    <row r="841" spans="1:5" ht="15" thickBot="1" x14ac:dyDescent="0.4">
      <c r="A841" s="7"/>
      <c r="B841" s="7"/>
      <c r="C841" s="7"/>
      <c r="D841" s="7"/>
      <c r="E841" s="7"/>
    </row>
    <row r="842" spans="1:5" ht="15" thickBot="1" x14ac:dyDescent="0.4">
      <c r="A842" s="7"/>
      <c r="B842" s="7"/>
      <c r="C842" s="7"/>
      <c r="D842" s="7"/>
      <c r="E842" s="7"/>
    </row>
    <row r="843" spans="1:5" ht="15" thickBot="1" x14ac:dyDescent="0.4">
      <c r="A843" s="7"/>
      <c r="B843" s="7"/>
      <c r="C843" s="7"/>
      <c r="D843" s="7"/>
      <c r="E843" s="7"/>
    </row>
    <row r="844" spans="1:5" ht="15" thickBot="1" x14ac:dyDescent="0.4">
      <c r="A844" s="7"/>
      <c r="B844" s="7"/>
      <c r="C844" s="7"/>
      <c r="D844" s="7"/>
      <c r="E844" s="7"/>
    </row>
    <row r="845" spans="1:5" ht="15" thickBot="1" x14ac:dyDescent="0.4">
      <c r="A845" s="7"/>
      <c r="B845" s="7"/>
      <c r="C845" s="7"/>
      <c r="D845" s="7"/>
      <c r="E845" s="7"/>
    </row>
    <row r="846" spans="1:5" ht="15" thickBot="1" x14ac:dyDescent="0.4">
      <c r="A846" s="7"/>
      <c r="B846" s="7"/>
      <c r="C846" s="7"/>
      <c r="D846" s="7"/>
      <c r="E846" s="7"/>
    </row>
    <row r="847" spans="1:5" ht="15" thickBot="1" x14ac:dyDescent="0.4">
      <c r="A847" s="7"/>
      <c r="B847" s="7"/>
      <c r="C847" s="7"/>
      <c r="D847" s="7"/>
      <c r="E847" s="7"/>
    </row>
    <row r="848" spans="1:5" ht="15" thickBot="1" x14ac:dyDescent="0.4">
      <c r="A848" s="7"/>
      <c r="B848" s="7"/>
      <c r="C848" s="7"/>
      <c r="D848" s="7"/>
      <c r="E848" s="7"/>
    </row>
    <row r="849" spans="1:5" ht="15" thickBot="1" x14ac:dyDescent="0.4">
      <c r="A849" s="7"/>
      <c r="B849" s="7"/>
      <c r="C849" s="7"/>
      <c r="D849" s="7"/>
      <c r="E849" s="7"/>
    </row>
    <row r="850" spans="1:5" ht="15" thickBot="1" x14ac:dyDescent="0.4">
      <c r="A850" s="7"/>
      <c r="B850" s="7"/>
      <c r="C850" s="7"/>
      <c r="D850" s="7"/>
      <c r="E850" s="7"/>
    </row>
    <row r="851" spans="1:5" ht="15" thickBot="1" x14ac:dyDescent="0.4">
      <c r="A851" s="7"/>
      <c r="B851" s="7"/>
      <c r="C851" s="7"/>
      <c r="D851" s="7"/>
      <c r="E851" s="7"/>
    </row>
    <row r="852" spans="1:5" ht="15" thickBot="1" x14ac:dyDescent="0.4">
      <c r="A852" s="7"/>
      <c r="B852" s="7"/>
      <c r="C852" s="7"/>
      <c r="D852" s="7"/>
      <c r="E852" s="7"/>
    </row>
    <row r="853" spans="1:5" ht="15" thickBot="1" x14ac:dyDescent="0.4">
      <c r="A853" s="7"/>
      <c r="B853" s="7"/>
      <c r="C853" s="7"/>
      <c r="D853" s="7"/>
      <c r="E853" s="7"/>
    </row>
    <row r="854" spans="1:5" ht="15" thickBot="1" x14ac:dyDescent="0.4">
      <c r="A854" s="7"/>
      <c r="B854" s="7"/>
      <c r="C854" s="7"/>
      <c r="D854" s="7"/>
      <c r="E854" s="7"/>
    </row>
    <row r="855" spans="1:5" ht="15" thickBot="1" x14ac:dyDescent="0.4">
      <c r="A855" s="7"/>
      <c r="B855" s="7"/>
      <c r="C855" s="7"/>
      <c r="D855" s="7"/>
      <c r="E855" s="7"/>
    </row>
    <row r="856" spans="1:5" ht="15" thickBot="1" x14ac:dyDescent="0.4">
      <c r="A856" s="7"/>
      <c r="B856" s="7"/>
      <c r="C856" s="7"/>
      <c r="D856" s="7"/>
      <c r="E856" s="7"/>
    </row>
    <row r="857" spans="1:5" ht="15" thickBot="1" x14ac:dyDescent="0.4">
      <c r="A857" s="7"/>
      <c r="B857" s="7"/>
      <c r="C857" s="7"/>
      <c r="D857" s="7"/>
      <c r="E857" s="7"/>
    </row>
    <row r="858" spans="1:5" ht="15" thickBot="1" x14ac:dyDescent="0.4">
      <c r="A858" s="7"/>
      <c r="B858" s="7"/>
      <c r="C858" s="7"/>
      <c r="D858" s="7"/>
      <c r="E858" s="7"/>
    </row>
    <row r="859" spans="1:5" ht="15" thickBot="1" x14ac:dyDescent="0.4">
      <c r="A859" s="7"/>
      <c r="B859" s="7"/>
      <c r="C859" s="7"/>
      <c r="D859" s="7"/>
      <c r="E859" s="7"/>
    </row>
    <row r="860" spans="1:5" ht="15" thickBot="1" x14ac:dyDescent="0.4">
      <c r="A860" s="7"/>
      <c r="B860" s="7"/>
      <c r="C860" s="7"/>
      <c r="D860" s="7"/>
      <c r="E860" s="7"/>
    </row>
    <row r="861" spans="1:5" ht="15" thickBot="1" x14ac:dyDescent="0.4">
      <c r="A861" s="7"/>
      <c r="B861" s="7"/>
      <c r="C861" s="7"/>
      <c r="D861" s="7"/>
      <c r="E861" s="7"/>
    </row>
    <row r="862" spans="1:5" ht="15" thickBot="1" x14ac:dyDescent="0.4">
      <c r="A862" s="7"/>
      <c r="B862" s="7"/>
      <c r="C862" s="7"/>
      <c r="D862" s="7"/>
      <c r="E862" s="7"/>
    </row>
    <row r="863" spans="1:5" ht="15" thickBot="1" x14ac:dyDescent="0.4">
      <c r="A863" s="7"/>
      <c r="B863" s="7"/>
      <c r="C863" s="7"/>
      <c r="D863" s="7"/>
      <c r="E863" s="7"/>
    </row>
    <row r="864" spans="1:5" ht="15" thickBot="1" x14ac:dyDescent="0.4">
      <c r="A864" s="7"/>
      <c r="B864" s="7"/>
      <c r="C864" s="7"/>
      <c r="D864" s="7"/>
      <c r="E864" s="7"/>
    </row>
    <row r="865" spans="1:5" ht="15" thickBot="1" x14ac:dyDescent="0.4">
      <c r="A865" s="7"/>
      <c r="B865" s="7"/>
      <c r="C865" s="7"/>
      <c r="D865" s="7"/>
      <c r="E865" s="7"/>
    </row>
    <row r="866" spans="1:5" ht="15" thickBot="1" x14ac:dyDescent="0.4">
      <c r="A866" s="7"/>
      <c r="B866" s="7"/>
      <c r="C866" s="7"/>
      <c r="D866" s="7"/>
      <c r="E866" s="7"/>
    </row>
    <row r="867" spans="1:5" ht="15" thickBot="1" x14ac:dyDescent="0.4">
      <c r="A867" s="7"/>
      <c r="B867" s="7"/>
      <c r="C867" s="7"/>
      <c r="D867" s="7"/>
      <c r="E867" s="7"/>
    </row>
    <row r="868" spans="1:5" ht="15" thickBot="1" x14ac:dyDescent="0.4">
      <c r="A868" s="7"/>
      <c r="B868" s="7"/>
      <c r="C868" s="7"/>
      <c r="D868" s="7"/>
      <c r="E868" s="7"/>
    </row>
    <row r="869" spans="1:5" ht="15" thickBot="1" x14ac:dyDescent="0.4">
      <c r="A869" s="7"/>
      <c r="B869" s="7"/>
      <c r="C869" s="7"/>
      <c r="D869" s="7"/>
      <c r="E869" s="7"/>
    </row>
    <row r="870" spans="1:5" ht="15" thickBot="1" x14ac:dyDescent="0.4">
      <c r="A870" s="7"/>
      <c r="B870" s="7"/>
      <c r="C870" s="7"/>
      <c r="D870" s="7"/>
      <c r="E870" s="7"/>
    </row>
    <row r="871" spans="1:5" ht="15" thickBot="1" x14ac:dyDescent="0.4">
      <c r="A871" s="7"/>
      <c r="B871" s="7"/>
      <c r="C871" s="7"/>
      <c r="D871" s="7"/>
      <c r="E871" s="7"/>
    </row>
    <row r="872" spans="1:5" ht="15" thickBot="1" x14ac:dyDescent="0.4">
      <c r="A872" s="7"/>
      <c r="B872" s="7"/>
      <c r="C872" s="7"/>
      <c r="D872" s="7"/>
      <c r="E872" s="7"/>
    </row>
    <row r="873" spans="1:5" ht="15" thickBot="1" x14ac:dyDescent="0.4">
      <c r="A873" s="7"/>
      <c r="B873" s="7"/>
      <c r="C873" s="7"/>
      <c r="D873" s="7"/>
      <c r="E873" s="7"/>
    </row>
    <row r="874" spans="1:5" ht="15" thickBot="1" x14ac:dyDescent="0.4">
      <c r="A874" s="7"/>
      <c r="B874" s="7"/>
      <c r="C874" s="7"/>
      <c r="D874" s="7"/>
      <c r="E874" s="7"/>
    </row>
    <row r="875" spans="1:5" ht="15" thickBot="1" x14ac:dyDescent="0.4">
      <c r="A875" s="7"/>
      <c r="B875" s="7"/>
      <c r="C875" s="7"/>
      <c r="D875" s="7"/>
      <c r="E875" s="7"/>
    </row>
    <row r="876" spans="1:5" ht="15" thickBot="1" x14ac:dyDescent="0.4">
      <c r="A876" s="7"/>
      <c r="B876" s="7"/>
      <c r="C876" s="7"/>
      <c r="D876" s="7"/>
      <c r="E876" s="7"/>
    </row>
    <row r="877" spans="1:5" ht="15" thickBot="1" x14ac:dyDescent="0.4">
      <c r="A877" s="7"/>
      <c r="B877" s="7"/>
      <c r="C877" s="7"/>
      <c r="D877" s="7"/>
      <c r="E877" s="7"/>
    </row>
    <row r="878" spans="1:5" ht="15" thickBot="1" x14ac:dyDescent="0.4">
      <c r="A878" s="7"/>
      <c r="B878" s="7"/>
      <c r="C878" s="7"/>
      <c r="D878" s="7"/>
      <c r="E878" s="7"/>
    </row>
    <row r="879" spans="1:5" ht="15" thickBot="1" x14ac:dyDescent="0.4">
      <c r="A879" s="7"/>
      <c r="B879" s="7"/>
      <c r="C879" s="7"/>
      <c r="D879" s="7"/>
      <c r="E879" s="7"/>
    </row>
    <row r="880" spans="1:5" ht="15" thickBot="1" x14ac:dyDescent="0.4">
      <c r="A880" s="7"/>
      <c r="B880" s="7"/>
      <c r="C880" s="7"/>
      <c r="D880" s="7"/>
      <c r="E880" s="7"/>
    </row>
    <row r="881" spans="1:5" ht="15" thickBot="1" x14ac:dyDescent="0.4">
      <c r="A881" s="7"/>
      <c r="B881" s="7"/>
      <c r="C881" s="7"/>
      <c r="D881" s="7"/>
      <c r="E881" s="7"/>
    </row>
    <row r="882" spans="1:5" ht="15" thickBot="1" x14ac:dyDescent="0.4">
      <c r="A882" s="7"/>
      <c r="B882" s="7"/>
      <c r="C882" s="7"/>
      <c r="D882" s="7"/>
      <c r="E882" s="7"/>
    </row>
    <row r="883" spans="1:5" ht="15" thickBot="1" x14ac:dyDescent="0.4">
      <c r="A883" s="7"/>
      <c r="B883" s="7"/>
      <c r="C883" s="7"/>
      <c r="D883" s="7"/>
      <c r="E883" s="7"/>
    </row>
    <row r="884" spans="1:5" ht="15" thickBot="1" x14ac:dyDescent="0.4">
      <c r="A884" s="7"/>
      <c r="B884" s="7"/>
      <c r="C884" s="7"/>
      <c r="D884" s="7"/>
      <c r="E884" s="7"/>
    </row>
    <row r="885" spans="1:5" ht="15" thickBot="1" x14ac:dyDescent="0.4">
      <c r="A885" s="7"/>
      <c r="B885" s="7"/>
      <c r="C885" s="7"/>
      <c r="D885" s="7"/>
      <c r="E885" s="7"/>
    </row>
    <row r="886" spans="1:5" ht="15" thickBot="1" x14ac:dyDescent="0.4">
      <c r="A886" s="7"/>
      <c r="B886" s="7"/>
      <c r="C886" s="7"/>
      <c r="D886" s="7"/>
      <c r="E886" s="7"/>
    </row>
    <row r="887" spans="1:5" ht="15" thickBot="1" x14ac:dyDescent="0.4">
      <c r="A887" s="7"/>
      <c r="B887" s="7"/>
      <c r="C887" s="7"/>
      <c r="D887" s="7"/>
      <c r="E887" s="7"/>
    </row>
    <row r="888" spans="1:5" ht="15" thickBot="1" x14ac:dyDescent="0.4">
      <c r="A888" s="7"/>
      <c r="B888" s="7"/>
      <c r="C888" s="7"/>
      <c r="D888" s="7"/>
      <c r="E888" s="7"/>
    </row>
    <row r="889" spans="1:5" ht="15" thickBot="1" x14ac:dyDescent="0.4">
      <c r="A889" s="7"/>
      <c r="B889" s="7"/>
      <c r="C889" s="7"/>
      <c r="D889" s="7"/>
      <c r="E889" s="7"/>
    </row>
    <row r="890" spans="1:5" ht="15" thickBot="1" x14ac:dyDescent="0.4">
      <c r="A890" s="7"/>
      <c r="B890" s="7"/>
      <c r="C890" s="7"/>
      <c r="D890" s="7"/>
      <c r="E890" s="7"/>
    </row>
    <row r="891" spans="1:5" ht="15" thickBot="1" x14ac:dyDescent="0.4">
      <c r="A891" s="7"/>
      <c r="B891" s="7"/>
      <c r="C891" s="7"/>
      <c r="D891" s="7"/>
      <c r="E891" s="7"/>
    </row>
    <row r="892" spans="1:5" ht="15" thickBot="1" x14ac:dyDescent="0.4">
      <c r="A892" s="7"/>
      <c r="B892" s="7"/>
      <c r="C892" s="7"/>
      <c r="D892" s="7"/>
      <c r="E892" s="7"/>
    </row>
    <row r="893" spans="1:5" ht="15" thickBot="1" x14ac:dyDescent="0.4">
      <c r="A893" s="7"/>
      <c r="B893" s="7"/>
      <c r="C893" s="7"/>
      <c r="D893" s="7"/>
      <c r="E893" s="7"/>
    </row>
    <row r="894" spans="1:5" ht="15" thickBot="1" x14ac:dyDescent="0.4">
      <c r="A894" s="7"/>
      <c r="B894" s="7"/>
      <c r="C894" s="7"/>
      <c r="D894" s="7"/>
      <c r="E894" s="7"/>
    </row>
    <row r="895" spans="1:5" ht="15" thickBot="1" x14ac:dyDescent="0.4">
      <c r="A895" s="7"/>
      <c r="B895" s="7"/>
      <c r="C895" s="7"/>
      <c r="D895" s="7"/>
      <c r="E895" s="7"/>
    </row>
    <row r="896" spans="1:5" ht="15" thickBot="1" x14ac:dyDescent="0.4">
      <c r="A896" s="7"/>
      <c r="B896" s="7"/>
      <c r="C896" s="7"/>
      <c r="D896" s="7"/>
      <c r="E896" s="7"/>
    </row>
    <row r="897" spans="1:5" ht="15" thickBot="1" x14ac:dyDescent="0.4">
      <c r="A897" s="7"/>
      <c r="B897" s="7"/>
      <c r="C897" s="7"/>
      <c r="D897" s="7"/>
      <c r="E897" s="7"/>
    </row>
    <row r="898" spans="1:5" ht="15" thickBot="1" x14ac:dyDescent="0.4">
      <c r="A898" s="7"/>
      <c r="B898" s="7"/>
      <c r="C898" s="7"/>
      <c r="D898" s="7"/>
      <c r="E898" s="7"/>
    </row>
    <row r="899" spans="1:5" ht="15" thickBot="1" x14ac:dyDescent="0.4">
      <c r="A899" s="7"/>
      <c r="B899" s="7"/>
      <c r="C899" s="7"/>
      <c r="D899" s="7"/>
      <c r="E899" s="7"/>
    </row>
    <row r="900" spans="1:5" ht="15" thickBot="1" x14ac:dyDescent="0.4">
      <c r="A900" s="7"/>
      <c r="B900" s="7"/>
      <c r="C900" s="7"/>
      <c r="D900" s="7"/>
      <c r="E900" s="7"/>
    </row>
    <row r="901" spans="1:5" ht="15" thickBot="1" x14ac:dyDescent="0.4">
      <c r="A901" s="7"/>
      <c r="B901" s="7"/>
      <c r="C901" s="7"/>
      <c r="D901" s="7"/>
      <c r="E901" s="7"/>
    </row>
    <row r="902" spans="1:5" ht="15" thickBot="1" x14ac:dyDescent="0.4">
      <c r="A902" s="7"/>
      <c r="B902" s="7"/>
      <c r="C902" s="7"/>
      <c r="D902" s="7"/>
      <c r="E902" s="7"/>
    </row>
    <row r="903" spans="1:5" ht="15" thickBot="1" x14ac:dyDescent="0.4">
      <c r="A903" s="7"/>
      <c r="B903" s="7"/>
      <c r="C903" s="7"/>
      <c r="D903" s="7"/>
      <c r="E903" s="7"/>
    </row>
    <row r="904" spans="1:5" ht="15" thickBot="1" x14ac:dyDescent="0.4">
      <c r="A904" s="7"/>
      <c r="B904" s="7"/>
      <c r="C904" s="7"/>
      <c r="D904" s="7"/>
      <c r="E904" s="7"/>
    </row>
    <row r="905" spans="1:5" ht="15" thickBot="1" x14ac:dyDescent="0.4">
      <c r="A905" s="7"/>
      <c r="B905" s="7"/>
      <c r="C905" s="7"/>
      <c r="D905" s="7"/>
      <c r="E905" s="7"/>
    </row>
    <row r="906" spans="1:5" ht="15" thickBot="1" x14ac:dyDescent="0.4">
      <c r="A906" s="7"/>
      <c r="B906" s="7"/>
      <c r="C906" s="7"/>
      <c r="D906" s="7"/>
      <c r="E906" s="7"/>
    </row>
    <row r="907" spans="1:5" ht="15" thickBot="1" x14ac:dyDescent="0.4">
      <c r="A907" s="7"/>
      <c r="B907" s="7"/>
      <c r="C907" s="7"/>
      <c r="D907" s="7"/>
      <c r="E907" s="7"/>
    </row>
    <row r="908" spans="1:5" ht="15" thickBot="1" x14ac:dyDescent="0.4">
      <c r="A908" s="7"/>
      <c r="B908" s="7"/>
      <c r="C908" s="7"/>
      <c r="D908" s="7"/>
      <c r="E908" s="7"/>
    </row>
    <row r="909" spans="1:5" ht="15" thickBot="1" x14ac:dyDescent="0.4">
      <c r="A909" s="7"/>
      <c r="B909" s="7"/>
      <c r="C909" s="7"/>
      <c r="D909" s="7"/>
      <c r="E909" s="7"/>
    </row>
    <row r="910" spans="1:5" ht="15" thickBot="1" x14ac:dyDescent="0.4">
      <c r="A910" s="7"/>
      <c r="B910" s="7"/>
      <c r="C910" s="7"/>
      <c r="D910" s="7"/>
      <c r="E910" s="7"/>
    </row>
    <row r="911" spans="1:5" ht="15" thickBot="1" x14ac:dyDescent="0.4">
      <c r="A911" s="7"/>
      <c r="B911" s="7"/>
      <c r="C911" s="7"/>
      <c r="D911" s="7"/>
      <c r="E911" s="7"/>
    </row>
    <row r="912" spans="1:5" ht="15" thickBot="1" x14ac:dyDescent="0.4">
      <c r="A912" s="7"/>
      <c r="B912" s="7"/>
      <c r="C912" s="7"/>
      <c r="D912" s="7"/>
      <c r="E912" s="7"/>
    </row>
    <row r="913" spans="1:5" ht="15" thickBot="1" x14ac:dyDescent="0.4">
      <c r="A913" s="7"/>
      <c r="B913" s="7"/>
      <c r="C913" s="7"/>
      <c r="D913" s="7"/>
      <c r="E913" s="7"/>
    </row>
    <row r="914" spans="1:5" ht="15" thickBot="1" x14ac:dyDescent="0.4">
      <c r="A914" s="7"/>
      <c r="B914" s="7"/>
      <c r="C914" s="7"/>
      <c r="D914" s="7"/>
      <c r="E914" s="7"/>
    </row>
    <row r="915" spans="1:5" ht="15" thickBot="1" x14ac:dyDescent="0.4">
      <c r="A915" s="7"/>
      <c r="B915" s="7"/>
      <c r="C915" s="7"/>
      <c r="D915" s="7"/>
      <c r="E915" s="7"/>
    </row>
    <row r="916" spans="1:5" ht="15" thickBot="1" x14ac:dyDescent="0.4">
      <c r="A916" s="7"/>
      <c r="B916" s="7"/>
      <c r="C916" s="7"/>
      <c r="D916" s="7"/>
      <c r="E916" s="7"/>
    </row>
    <row r="917" spans="1:5" ht="15" thickBot="1" x14ac:dyDescent="0.4">
      <c r="A917" s="7"/>
      <c r="B917" s="7"/>
      <c r="C917" s="7"/>
      <c r="D917" s="7"/>
      <c r="E917" s="7"/>
    </row>
    <row r="918" spans="1:5" ht="15" thickBot="1" x14ac:dyDescent="0.4">
      <c r="A918" s="7"/>
      <c r="B918" s="7"/>
      <c r="C918" s="7"/>
      <c r="D918" s="7"/>
      <c r="E918" s="7"/>
    </row>
    <row r="919" spans="1:5" ht="15" thickBot="1" x14ac:dyDescent="0.4">
      <c r="A919" s="7"/>
      <c r="B919" s="7"/>
      <c r="C919" s="7"/>
      <c r="D919" s="7"/>
      <c r="E919" s="7"/>
    </row>
    <row r="920" spans="1:5" ht="15" thickBot="1" x14ac:dyDescent="0.4">
      <c r="A920" s="7"/>
      <c r="B920" s="7"/>
      <c r="C920" s="7"/>
      <c r="D920" s="7"/>
      <c r="E920" s="7"/>
    </row>
    <row r="921" spans="1:5" ht="15" thickBot="1" x14ac:dyDescent="0.4">
      <c r="A921" s="7"/>
      <c r="B921" s="7"/>
      <c r="C921" s="7"/>
      <c r="D921" s="7"/>
      <c r="E921" s="7"/>
    </row>
    <row r="922" spans="1:5" ht="15" thickBot="1" x14ac:dyDescent="0.4">
      <c r="A922" s="7"/>
      <c r="B922" s="7"/>
      <c r="C922" s="7"/>
      <c r="D922" s="7"/>
      <c r="E922" s="7"/>
    </row>
    <row r="923" spans="1:5" ht="15" thickBot="1" x14ac:dyDescent="0.4">
      <c r="A923" s="7"/>
      <c r="B923" s="7"/>
      <c r="C923" s="7"/>
      <c r="D923" s="7"/>
      <c r="E923" s="7"/>
    </row>
    <row r="924" spans="1:5" ht="15" thickBot="1" x14ac:dyDescent="0.4">
      <c r="A924" s="7"/>
      <c r="B924" s="7"/>
      <c r="C924" s="7"/>
      <c r="D924" s="7"/>
      <c r="E924" s="7"/>
    </row>
    <row r="925" spans="1:5" ht="15" thickBot="1" x14ac:dyDescent="0.4">
      <c r="A925" s="7"/>
      <c r="B925" s="7"/>
      <c r="C925" s="7"/>
      <c r="D925" s="7"/>
      <c r="E925" s="7"/>
    </row>
    <row r="926" spans="1:5" ht="15" thickBot="1" x14ac:dyDescent="0.4">
      <c r="A926" s="7"/>
      <c r="B926" s="7"/>
      <c r="C926" s="7"/>
      <c r="D926" s="7"/>
      <c r="E926" s="7"/>
    </row>
    <row r="927" spans="1:5" ht="15" thickBot="1" x14ac:dyDescent="0.4">
      <c r="A927" s="7"/>
      <c r="B927" s="7"/>
      <c r="C927" s="7"/>
      <c r="D927" s="7"/>
      <c r="E927" s="7"/>
    </row>
    <row r="928" spans="1:5" ht="15" thickBot="1" x14ac:dyDescent="0.4">
      <c r="A928" s="7"/>
      <c r="B928" s="7"/>
      <c r="C928" s="7"/>
      <c r="D928" s="7"/>
      <c r="E928" s="7"/>
    </row>
    <row r="929" spans="1:5" ht="15" thickBot="1" x14ac:dyDescent="0.4">
      <c r="A929" s="7"/>
      <c r="B929" s="7"/>
      <c r="C929" s="7"/>
      <c r="D929" s="7"/>
      <c r="E929" s="7"/>
    </row>
    <row r="930" spans="1:5" ht="15" thickBot="1" x14ac:dyDescent="0.4">
      <c r="A930" s="7"/>
      <c r="B930" s="7"/>
      <c r="C930" s="7"/>
      <c r="D930" s="7"/>
      <c r="E930" s="7"/>
    </row>
    <row r="931" spans="1:5" ht="15" thickBot="1" x14ac:dyDescent="0.4">
      <c r="A931" s="7"/>
      <c r="B931" s="7"/>
      <c r="C931" s="7"/>
      <c r="D931" s="7"/>
      <c r="E931" s="7"/>
    </row>
    <row r="932" spans="1:5" ht="15" thickBot="1" x14ac:dyDescent="0.4">
      <c r="A932" s="7"/>
      <c r="B932" s="7"/>
      <c r="C932" s="7"/>
      <c r="D932" s="7"/>
      <c r="E932" s="7"/>
    </row>
    <row r="933" spans="1:5" ht="15" thickBot="1" x14ac:dyDescent="0.4">
      <c r="A933" s="7"/>
      <c r="B933" s="7"/>
      <c r="C933" s="7"/>
      <c r="D933" s="7"/>
      <c r="E933" s="7"/>
    </row>
    <row r="934" spans="1:5" ht="15" thickBot="1" x14ac:dyDescent="0.4">
      <c r="A934" s="7"/>
      <c r="B934" s="7"/>
      <c r="C934" s="7"/>
      <c r="D934" s="7"/>
      <c r="E934" s="7"/>
    </row>
    <row r="935" spans="1:5" ht="15" thickBot="1" x14ac:dyDescent="0.4">
      <c r="A935" s="7"/>
      <c r="B935" s="7"/>
      <c r="C935" s="7"/>
      <c r="D935" s="7"/>
      <c r="E935" s="7"/>
    </row>
    <row r="936" spans="1:5" ht="15" thickBot="1" x14ac:dyDescent="0.4">
      <c r="A936" s="7"/>
      <c r="B936" s="7"/>
      <c r="C936" s="7"/>
      <c r="D936" s="7"/>
      <c r="E936" s="7"/>
    </row>
    <row r="937" spans="1:5" ht="15" thickBot="1" x14ac:dyDescent="0.4">
      <c r="A937" s="7"/>
      <c r="B937" s="7"/>
      <c r="C937" s="7"/>
      <c r="D937" s="7"/>
      <c r="E937" s="7"/>
    </row>
    <row r="938" spans="1:5" ht="15" thickBot="1" x14ac:dyDescent="0.4">
      <c r="A938" s="7"/>
      <c r="B938" s="7"/>
      <c r="C938" s="7"/>
      <c r="D938" s="7"/>
      <c r="E938" s="7"/>
    </row>
    <row r="939" spans="1:5" ht="15" thickBot="1" x14ac:dyDescent="0.4">
      <c r="A939" s="7"/>
      <c r="B939" s="7"/>
      <c r="C939" s="7"/>
      <c r="D939" s="7"/>
      <c r="E939" s="7"/>
    </row>
    <row r="940" spans="1:5" ht="15" thickBot="1" x14ac:dyDescent="0.4">
      <c r="A940" s="7"/>
      <c r="B940" s="7"/>
      <c r="C940" s="7"/>
      <c r="D940" s="7"/>
      <c r="E940" s="7"/>
    </row>
    <row r="941" spans="1:5" ht="15" thickBot="1" x14ac:dyDescent="0.4">
      <c r="A941" s="7"/>
      <c r="B941" s="7"/>
      <c r="C941" s="7"/>
      <c r="D941" s="7"/>
      <c r="E941" s="7"/>
    </row>
    <row r="942" spans="1:5" ht="15" thickBot="1" x14ac:dyDescent="0.4">
      <c r="A942" s="7"/>
      <c r="B942" s="7"/>
      <c r="C942" s="7"/>
      <c r="D942" s="7"/>
      <c r="E942" s="7"/>
    </row>
    <row r="943" spans="1:5" ht="15" thickBot="1" x14ac:dyDescent="0.4">
      <c r="A943" s="7"/>
      <c r="B943" s="7"/>
      <c r="C943" s="7"/>
      <c r="D943" s="7"/>
      <c r="E943" s="7"/>
    </row>
    <row r="944" spans="1:5" ht="15" thickBot="1" x14ac:dyDescent="0.4">
      <c r="A944" s="7"/>
      <c r="B944" s="7"/>
      <c r="C944" s="7"/>
      <c r="D944" s="7"/>
      <c r="E944" s="7"/>
    </row>
    <row r="945" spans="1:5" ht="15" thickBot="1" x14ac:dyDescent="0.4">
      <c r="A945" s="7"/>
      <c r="B945" s="7"/>
      <c r="C945" s="7"/>
      <c r="D945" s="7"/>
      <c r="E945" s="7"/>
    </row>
    <row r="946" spans="1:5" ht="15" thickBot="1" x14ac:dyDescent="0.4">
      <c r="A946" s="7"/>
      <c r="B946" s="7"/>
      <c r="C946" s="7"/>
      <c r="D946" s="7"/>
      <c r="E946" s="7"/>
    </row>
    <row r="947" spans="1:5" ht="15" thickBot="1" x14ac:dyDescent="0.4">
      <c r="A947" s="7"/>
      <c r="B947" s="7"/>
      <c r="C947" s="7"/>
      <c r="D947" s="7"/>
      <c r="E947" s="7"/>
    </row>
    <row r="948" spans="1:5" ht="15" thickBot="1" x14ac:dyDescent="0.4">
      <c r="A948" s="7"/>
      <c r="B948" s="7"/>
      <c r="C948" s="7"/>
      <c r="D948" s="7"/>
      <c r="E948" s="7"/>
    </row>
    <row r="949" spans="1:5" ht="15" thickBot="1" x14ac:dyDescent="0.4">
      <c r="A949" s="7"/>
      <c r="B949" s="7"/>
      <c r="C949" s="7"/>
      <c r="D949" s="7"/>
      <c r="E949" s="7"/>
    </row>
    <row r="950" spans="1:5" ht="15" thickBot="1" x14ac:dyDescent="0.4">
      <c r="A950" s="7"/>
      <c r="B950" s="7"/>
      <c r="C950" s="7"/>
      <c r="D950" s="7"/>
      <c r="E950" s="7"/>
    </row>
    <row r="951" spans="1:5" ht="15" thickBot="1" x14ac:dyDescent="0.4">
      <c r="A951" s="7"/>
      <c r="B951" s="7"/>
      <c r="C951" s="7"/>
      <c r="D951" s="7"/>
      <c r="E951" s="7"/>
    </row>
    <row r="952" spans="1:5" ht="15" thickBot="1" x14ac:dyDescent="0.4">
      <c r="A952" s="7"/>
      <c r="B952" s="7"/>
      <c r="C952" s="7"/>
      <c r="D952" s="7"/>
      <c r="E952" s="7"/>
    </row>
    <row r="953" spans="1:5" ht="15" thickBot="1" x14ac:dyDescent="0.4">
      <c r="A953" s="7"/>
      <c r="B953" s="7"/>
      <c r="C953" s="7"/>
      <c r="D953" s="7"/>
      <c r="E953" s="7"/>
    </row>
    <row r="954" spans="1:5" ht="15" thickBot="1" x14ac:dyDescent="0.4">
      <c r="A954" s="7"/>
      <c r="B954" s="7"/>
      <c r="C954" s="7"/>
      <c r="D954" s="7"/>
      <c r="E954" s="7"/>
    </row>
    <row r="955" spans="1:5" ht="15" thickBot="1" x14ac:dyDescent="0.4">
      <c r="A955" s="7"/>
      <c r="B955" s="7"/>
      <c r="C955" s="7"/>
      <c r="D955" s="7"/>
      <c r="E955" s="7"/>
    </row>
    <row r="956" spans="1:5" ht="15" thickBot="1" x14ac:dyDescent="0.4">
      <c r="A956" s="7"/>
      <c r="B956" s="7"/>
      <c r="C956" s="7"/>
      <c r="D956" s="7"/>
      <c r="E956" s="7"/>
    </row>
    <row r="957" spans="1:5" ht="15" thickBot="1" x14ac:dyDescent="0.4">
      <c r="A957" s="7"/>
      <c r="B957" s="7"/>
      <c r="C957" s="7"/>
      <c r="D957" s="7"/>
      <c r="E957" s="7"/>
    </row>
    <row r="958" spans="1:5" ht="15" thickBot="1" x14ac:dyDescent="0.4">
      <c r="A958" s="7"/>
      <c r="B958" s="7"/>
      <c r="C958" s="7"/>
      <c r="D958" s="7"/>
      <c r="E958" s="7"/>
    </row>
    <row r="959" spans="1:5" ht="15" thickBot="1" x14ac:dyDescent="0.4">
      <c r="A959" s="7"/>
      <c r="B959" s="7"/>
      <c r="C959" s="7"/>
      <c r="D959" s="7"/>
      <c r="E959" s="7"/>
    </row>
    <row r="960" spans="1:5" ht="15" thickBot="1" x14ac:dyDescent="0.4">
      <c r="A960" s="7"/>
      <c r="B960" s="7"/>
      <c r="C960" s="7"/>
      <c r="D960" s="7"/>
      <c r="E960" s="7"/>
    </row>
    <row r="961" spans="1:5" ht="15" thickBot="1" x14ac:dyDescent="0.4">
      <c r="A961" s="7"/>
      <c r="B961" s="7"/>
      <c r="C961" s="7"/>
      <c r="D961" s="7"/>
      <c r="E961" s="7"/>
    </row>
    <row r="962" spans="1:5" ht="15" thickBot="1" x14ac:dyDescent="0.4">
      <c r="A962" s="7"/>
      <c r="B962" s="7"/>
      <c r="C962" s="7"/>
      <c r="D962" s="7"/>
      <c r="E962" s="7"/>
    </row>
    <row r="963" spans="1:5" ht="15" thickBot="1" x14ac:dyDescent="0.4">
      <c r="A963" s="7"/>
      <c r="B963" s="7"/>
      <c r="C963" s="7"/>
      <c r="D963" s="7"/>
      <c r="E963" s="7"/>
    </row>
    <row r="964" spans="1:5" ht="15" thickBot="1" x14ac:dyDescent="0.4">
      <c r="A964" s="7"/>
      <c r="B964" s="7"/>
      <c r="C964" s="7"/>
      <c r="D964" s="7"/>
      <c r="E964" s="7"/>
    </row>
    <row r="965" spans="1:5" ht="15" thickBot="1" x14ac:dyDescent="0.4">
      <c r="A965" s="7"/>
      <c r="B965" s="7"/>
      <c r="C965" s="7"/>
      <c r="D965" s="7"/>
      <c r="E965" s="7"/>
    </row>
    <row r="966" spans="1:5" ht="15" thickBot="1" x14ac:dyDescent="0.4">
      <c r="A966" s="7"/>
      <c r="B966" s="7"/>
      <c r="C966" s="7"/>
      <c r="D966" s="7"/>
      <c r="E966" s="7"/>
    </row>
    <row r="967" spans="1:5" ht="15" thickBot="1" x14ac:dyDescent="0.4">
      <c r="A967" s="7"/>
      <c r="B967" s="7"/>
      <c r="C967" s="7"/>
      <c r="D967" s="7"/>
      <c r="E967" s="7"/>
    </row>
    <row r="968" spans="1:5" ht="15" thickBot="1" x14ac:dyDescent="0.4">
      <c r="A968" s="7"/>
      <c r="B968" s="7"/>
      <c r="C968" s="7"/>
      <c r="D968" s="7"/>
      <c r="E968" s="7"/>
    </row>
    <row r="969" spans="1:5" ht="15" thickBot="1" x14ac:dyDescent="0.4">
      <c r="A969" s="7"/>
      <c r="B969" s="7"/>
      <c r="C969" s="7"/>
      <c r="D969" s="7"/>
      <c r="E969" s="7"/>
    </row>
    <row r="970" spans="1:5" ht="15" thickBot="1" x14ac:dyDescent="0.4">
      <c r="A970" s="7"/>
      <c r="B970" s="7"/>
      <c r="C970" s="7"/>
      <c r="D970" s="7"/>
      <c r="E970" s="7"/>
    </row>
    <row r="971" spans="1:5" ht="15" thickBot="1" x14ac:dyDescent="0.4">
      <c r="A971" s="7"/>
      <c r="B971" s="7"/>
      <c r="C971" s="7"/>
      <c r="D971" s="7"/>
      <c r="E971" s="7"/>
    </row>
    <row r="972" spans="1:5" ht="15" thickBot="1" x14ac:dyDescent="0.4">
      <c r="A972" s="7"/>
      <c r="B972" s="7"/>
      <c r="C972" s="7"/>
      <c r="D972" s="7"/>
      <c r="E972" s="7"/>
    </row>
    <row r="973" spans="1:5" ht="15" thickBot="1" x14ac:dyDescent="0.4">
      <c r="A973" s="7"/>
      <c r="B973" s="7"/>
      <c r="C973" s="7"/>
      <c r="D973" s="7"/>
      <c r="E973" s="7"/>
    </row>
    <row r="974" spans="1:5" ht="15" thickBot="1" x14ac:dyDescent="0.4">
      <c r="A974" s="7"/>
      <c r="B974" s="7"/>
      <c r="C974" s="7"/>
      <c r="D974" s="7"/>
      <c r="E974" s="7"/>
    </row>
    <row r="975" spans="1:5" ht="15" thickBot="1" x14ac:dyDescent="0.4">
      <c r="A975" s="7"/>
      <c r="B975" s="7"/>
      <c r="C975" s="7"/>
      <c r="D975" s="7"/>
      <c r="E975" s="7"/>
    </row>
    <row r="976" spans="1:5" ht="15" thickBot="1" x14ac:dyDescent="0.4">
      <c r="A976" s="7"/>
      <c r="B976" s="7"/>
      <c r="C976" s="7"/>
      <c r="D976" s="7"/>
      <c r="E976" s="7"/>
    </row>
    <row r="977" spans="1:5" ht="15" thickBot="1" x14ac:dyDescent="0.4">
      <c r="A977" s="7"/>
      <c r="B977" s="7"/>
      <c r="C977" s="7"/>
      <c r="D977" s="7"/>
      <c r="E977" s="7"/>
    </row>
    <row r="978" spans="1:5" ht="15" thickBot="1" x14ac:dyDescent="0.4">
      <c r="A978" s="7"/>
      <c r="B978" s="7"/>
      <c r="C978" s="7"/>
      <c r="D978" s="7"/>
      <c r="E978" s="7"/>
    </row>
    <row r="979" spans="1:5" ht="15" thickBot="1" x14ac:dyDescent="0.4">
      <c r="A979" s="7"/>
      <c r="B979" s="7"/>
      <c r="C979" s="7"/>
      <c r="D979" s="7"/>
      <c r="E979" s="7"/>
    </row>
    <row r="980" spans="1:5" ht="15" thickBot="1" x14ac:dyDescent="0.4">
      <c r="A980" s="7"/>
      <c r="B980" s="7"/>
      <c r="C980" s="7"/>
      <c r="D980" s="7"/>
      <c r="E980" s="7"/>
    </row>
    <row r="981" spans="1:5" ht="15" thickBot="1" x14ac:dyDescent="0.4">
      <c r="A981" s="7"/>
      <c r="B981" s="7"/>
      <c r="C981" s="7"/>
      <c r="D981" s="7"/>
      <c r="E981" s="7"/>
    </row>
    <row r="982" spans="1:5" ht="15" thickBot="1" x14ac:dyDescent="0.4">
      <c r="A982" s="7"/>
      <c r="B982" s="7"/>
      <c r="C982" s="7"/>
      <c r="D982" s="7"/>
      <c r="E982" s="7"/>
    </row>
    <row r="983" spans="1:5" ht="15" thickBot="1" x14ac:dyDescent="0.4">
      <c r="A983" s="7"/>
      <c r="B983" s="7"/>
      <c r="C983" s="7"/>
      <c r="D983" s="7"/>
      <c r="E983" s="7"/>
    </row>
    <row r="984" spans="1:5" ht="15" thickBot="1" x14ac:dyDescent="0.4">
      <c r="A984" s="7"/>
      <c r="B984" s="7"/>
      <c r="C984" s="7"/>
      <c r="D984" s="7"/>
      <c r="E984" s="7"/>
    </row>
    <row r="985" spans="1:5" ht="15" thickBot="1" x14ac:dyDescent="0.4">
      <c r="A985" s="7"/>
      <c r="B985" s="7"/>
      <c r="C985" s="7"/>
      <c r="D985" s="7"/>
      <c r="E985" s="7"/>
    </row>
    <row r="986" spans="1:5" ht="15" thickBot="1" x14ac:dyDescent="0.4">
      <c r="A986" s="7"/>
      <c r="B986" s="7"/>
      <c r="C986" s="7"/>
      <c r="D986" s="7"/>
      <c r="E986" s="7"/>
    </row>
  </sheetData>
  <hyperlinks>
    <hyperlink ref="D167" r:id="rId1" display="http://zoom.com.br/" xr:uid="{973A995A-F547-487F-9D30-BA61EAD10277}"/>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BD05E7-1A9E-486D-881E-391EF6C62D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combined_output_id (3)</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Valton Neto</dc:creator>
  <cp:lastModifiedBy>Valton Neto</cp:lastModifiedBy>
  <dcterms:created xsi:type="dcterms:W3CDTF">2021-11-30T12:10:10Z</dcterms:created>
  <dcterms:modified xsi:type="dcterms:W3CDTF">2021-11-30T19:13:18Z</dcterms:modified>
</cp:coreProperties>
</file>